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igokp\Desktop\"/>
    </mc:Choice>
  </mc:AlternateContent>
  <xr:revisionPtr revIDLastSave="0" documentId="8_{03675437-0424-455C-A66E-0B5384CD167E}" xr6:coauthVersionLast="47" xr6:coauthVersionMax="47" xr10:uidLastSave="{00000000-0000-0000-0000-000000000000}"/>
  <bookViews>
    <workbookView xWindow="20370" yWindow="-120" windowWidth="29040" windowHeight="15720" xr2:uid="{D5DF3C90-1F30-4E6F-9B24-95B6B6CB5029}"/>
  </bookViews>
  <sheets>
    <sheet name="PESONet" sheetId="1" r:id="rId1"/>
    <sheet name="InstaP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G2" i="1"/>
  <c r="F2" i="1"/>
  <c r="G94" i="2"/>
  <c r="F94" i="2"/>
  <c r="E94" i="2"/>
  <c r="D94" i="2"/>
  <c r="G93" i="2"/>
  <c r="F93" i="2"/>
  <c r="E93" i="2"/>
  <c r="D93" i="2"/>
  <c r="G92" i="2"/>
  <c r="F92" i="2"/>
  <c r="E92" i="2"/>
  <c r="D92" i="2"/>
  <c r="G91" i="2"/>
  <c r="F91" i="2"/>
  <c r="E91" i="2"/>
  <c r="D91" i="2"/>
  <c r="G90" i="2"/>
  <c r="F90" i="2"/>
  <c r="E90" i="2"/>
  <c r="D90" i="2"/>
  <c r="G89" i="2"/>
  <c r="F89" i="2"/>
  <c r="E89" i="2"/>
  <c r="D89" i="2"/>
  <c r="G88" i="2"/>
  <c r="F88" i="2"/>
  <c r="E88" i="2"/>
  <c r="D88" i="2"/>
  <c r="G87" i="2"/>
  <c r="F87" i="2"/>
  <c r="E87" i="2"/>
  <c r="D87" i="2"/>
  <c r="G86" i="2"/>
  <c r="F86" i="2"/>
  <c r="E86" i="2"/>
  <c r="D86" i="2"/>
  <c r="G85" i="2"/>
  <c r="F85" i="2"/>
  <c r="E85" i="2"/>
  <c r="D85" i="2"/>
  <c r="G84" i="2"/>
  <c r="F84" i="2"/>
  <c r="E84" i="2"/>
  <c r="D84" i="2"/>
  <c r="G83" i="2"/>
  <c r="F83" i="2"/>
  <c r="E83" i="2"/>
  <c r="D83" i="2"/>
  <c r="G82" i="2"/>
  <c r="F82" i="2"/>
  <c r="E82" i="2"/>
  <c r="D82" i="2"/>
  <c r="G81" i="2"/>
  <c r="F81" i="2"/>
  <c r="E81" i="2"/>
  <c r="D81" i="2"/>
  <c r="G80" i="2"/>
  <c r="F80" i="2"/>
  <c r="E80" i="2"/>
  <c r="D80" i="2"/>
  <c r="G79" i="2"/>
  <c r="F79" i="2"/>
  <c r="E79" i="2"/>
  <c r="D79" i="2"/>
  <c r="G78" i="2"/>
  <c r="F78" i="2"/>
  <c r="E78" i="2"/>
  <c r="D78" i="2"/>
  <c r="G77" i="2"/>
  <c r="F77" i="2"/>
  <c r="E77" i="2"/>
  <c r="D77" i="2"/>
  <c r="G76" i="2"/>
  <c r="F76" i="2"/>
  <c r="E76" i="2"/>
  <c r="D76" i="2"/>
  <c r="G75" i="2"/>
  <c r="F75" i="2"/>
  <c r="E75" i="2"/>
  <c r="D75" i="2"/>
  <c r="G74" i="2"/>
  <c r="F74" i="2"/>
  <c r="E74" i="2"/>
  <c r="D74" i="2"/>
  <c r="G73" i="2"/>
  <c r="F73" i="2"/>
  <c r="E73" i="2"/>
  <c r="D73" i="2"/>
  <c r="G72" i="2"/>
  <c r="F72" i="2"/>
  <c r="E72" i="2"/>
  <c r="D72" i="2"/>
  <c r="G71" i="2"/>
  <c r="F71" i="2"/>
  <c r="E71" i="2"/>
  <c r="D71" i="2"/>
  <c r="G70" i="2"/>
  <c r="F70" i="2"/>
  <c r="E70" i="2"/>
  <c r="D70" i="2"/>
  <c r="G69" i="2"/>
  <c r="F69" i="2"/>
  <c r="E69" i="2"/>
  <c r="D69" i="2"/>
  <c r="G68" i="2"/>
  <c r="F68" i="2"/>
  <c r="E68" i="2"/>
  <c r="D68" i="2"/>
  <c r="G67" i="2"/>
  <c r="F67" i="2"/>
  <c r="E67" i="2"/>
  <c r="D67" i="2"/>
  <c r="G66" i="2"/>
  <c r="F66" i="2"/>
  <c r="E66" i="2"/>
  <c r="D66" i="2"/>
  <c r="G65" i="2"/>
  <c r="F65" i="2"/>
  <c r="E65" i="2"/>
  <c r="D65" i="2"/>
  <c r="G64" i="2"/>
  <c r="F64" i="2"/>
  <c r="E64" i="2"/>
  <c r="D64" i="2"/>
  <c r="G63" i="2"/>
  <c r="F63" i="2"/>
  <c r="E63" i="2"/>
  <c r="D63" i="2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G46" i="2"/>
  <c r="F46" i="2"/>
  <c r="E46" i="2"/>
  <c r="D46" i="2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F33" i="2"/>
  <c r="E33" i="2"/>
  <c r="D33" i="2"/>
  <c r="G32" i="2"/>
  <c r="F32" i="2"/>
  <c r="E32" i="2"/>
  <c r="D32" i="2"/>
  <c r="G31" i="2"/>
  <c r="F31" i="2"/>
  <c r="E31" i="2"/>
  <c r="D31" i="2"/>
  <c r="G30" i="2"/>
  <c r="F30" i="2"/>
  <c r="E30" i="2"/>
  <c r="D30" i="2"/>
  <c r="G29" i="2"/>
  <c r="F29" i="2"/>
  <c r="E29" i="2"/>
  <c r="D29" i="2"/>
  <c r="G28" i="2"/>
  <c r="F28" i="2"/>
  <c r="E28" i="2"/>
  <c r="D28" i="2"/>
  <c r="G27" i="2"/>
  <c r="F27" i="2"/>
  <c r="E27" i="2"/>
  <c r="D27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G2" i="2"/>
  <c r="F2" i="2"/>
</calcChain>
</file>

<file path=xl/sharedStrings.xml><?xml version="1.0" encoding="utf-8"?>
<sst xmlns="http://schemas.openxmlformats.org/spreadsheetml/2006/main" count="14" uniqueCount="7">
  <si>
    <t>Period</t>
  </si>
  <si>
    <t>Volume</t>
  </si>
  <si>
    <t>Value</t>
  </si>
  <si>
    <t>%Change in Vol</t>
  </si>
  <si>
    <t>%Change in Val</t>
  </si>
  <si>
    <t>Last12MTH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</si>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</sst>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lt;1000000]##,##0;[&lt;1000000000]#0.0,,&quot; M&quot;;#,##0.0,,,&quot; B&quot;"/>
    <numFmt numFmtId="165" formatCode="0.0%"/>
    <numFmt numFmtId="166" formatCode="[&lt;1000000000]#,##0;[&lt;1000000000000]#0.0,,,&quot; B&quot;;#0.0,,,,&quot; T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Montserrat"/>
    </font>
    <font>
      <sz val="12"/>
      <color theme="1"/>
      <name val="Aptos Narrow"/>
      <family val="2"/>
      <scheme val="minor"/>
    </font>
    <font>
      <sz val="10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 vertical="center"/>
    </xf>
    <xf numFmtId="17" fontId="4" fillId="0" borderId="3" xfId="0" applyNumberFormat="1" applyFont="1" applyBorder="1" applyAlignment="1">
      <alignment horizontal="center"/>
    </xf>
    <xf numFmtId="164" fontId="4" fillId="0" borderId="3" xfId="2" applyNumberFormat="1" applyFont="1" applyBorder="1" applyAlignment="1">
      <alignment horizontal="center"/>
    </xf>
    <xf numFmtId="165" fontId="4" fillId="0" borderId="3" xfId="3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1" fontId="4" fillId="0" borderId="6" xfId="1" applyNumberFormat="1" applyFont="1" applyFill="1" applyBorder="1" applyAlignment="1">
      <alignment horizontal="center" vertical="center"/>
    </xf>
    <xf numFmtId="17" fontId="4" fillId="0" borderId="7" xfId="0" applyNumberFormat="1" applyFont="1" applyBorder="1" applyAlignment="1">
      <alignment horizontal="center"/>
    </xf>
    <xf numFmtId="3" fontId="4" fillId="0" borderId="6" xfId="1" applyNumberFormat="1" applyFont="1" applyFill="1" applyBorder="1" applyAlignment="1">
      <alignment horizontal="center" vertical="center"/>
    </xf>
    <xf numFmtId="17" fontId="4" fillId="3" borderId="7" xfId="0" applyNumberFormat="1" applyFont="1" applyFill="1" applyBorder="1" applyAlignment="1">
      <alignment horizontal="center"/>
    </xf>
    <xf numFmtId="3" fontId="4" fillId="0" borderId="5" xfId="1" applyNumberFormat="1" applyFont="1" applyFill="1" applyBorder="1" applyAlignment="1">
      <alignment horizontal="center" vertical="center"/>
    </xf>
    <xf numFmtId="164" fontId="4" fillId="0" borderId="7" xfId="2" applyNumberFormat="1" applyFont="1" applyBorder="1" applyAlignment="1">
      <alignment horizontal="center"/>
    </xf>
    <xf numFmtId="165" fontId="4" fillId="0" borderId="7" xfId="3" applyNumberFormat="1" applyFont="1" applyFill="1" applyBorder="1" applyAlignment="1">
      <alignment horizontal="center" vertical="center"/>
    </xf>
    <xf numFmtId="17" fontId="4" fillId="0" borderId="8" xfId="0" applyNumberFormat="1" applyFont="1" applyBorder="1" applyAlignment="1">
      <alignment horizontal="center" vertical="center"/>
    </xf>
    <xf numFmtId="166" fontId="4" fillId="0" borderId="3" xfId="2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 vertical="center"/>
    </xf>
    <xf numFmtId="17" fontId="4" fillId="0" borderId="9" xfId="0" applyNumberFormat="1" applyFont="1" applyBorder="1" applyAlignment="1">
      <alignment horizontal="center" vertical="center"/>
    </xf>
    <xf numFmtId="17" fontId="4" fillId="4" borderId="9" xfId="0" applyNumberFormat="1" applyFont="1" applyFill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center" vertical="center"/>
    </xf>
    <xf numFmtId="17" fontId="4" fillId="4" borderId="8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166" fontId="4" fillId="0" borderId="7" xfId="2" applyNumberFormat="1" applyFont="1" applyBorder="1" applyAlignment="1">
      <alignment horizontal="center"/>
    </xf>
  </cellXfs>
  <cellStyles count="4">
    <cellStyle name="Normal" xfId="0" builtinId="0"/>
    <cellStyle name="Normal 2 2 2" xfId="2" xr:uid="{54C983FB-D186-41EC-9EF7-807B91AD3F70}"/>
    <cellStyle name="Percent" xfId="1" builtinId="5"/>
    <cellStyle name="Percent 5 4 34" xfId="3" xr:uid="{53FA4A6A-260D-446B-BC12-A360E3B64536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66" formatCode="[&lt;1000000000]#,##0;[&lt;1000000000000]#0.0,,,&quot; B&quot;;#0.0,,,,&quot; T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22" formatCode="mmm\-yy"/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bottom style="hair">
          <color indexed="64"/>
        </bottom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ontserrat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64" formatCode="[&lt;1000000]##,##0;[&lt;1000000000]#0.0,,&quot; M&quot;;#,##0.0,,,&quot; B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164" formatCode="[&lt;1000000]##,##0;[&lt;1000000000]#0.0,,&quot; M&quot;;#,##0.0,,,&quot; B&quot;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ontserrat"/>
        <scheme val="none"/>
      </font>
      <numFmt numFmtId="22" formatCode="mmm\-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rgb="FF000000"/>
        </top>
      </border>
    </dxf>
    <dxf>
      <border outline="0">
        <bottom style="hair">
          <color rgb="FF000000"/>
        </bottom>
      </border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ontserrat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76A754-5737-4ACE-9931-3FC962E90B3D}" name="MTH_VolVal_PesoNet" displayName="MTH_VolVal_PesoNet" ref="A1:G99" totalsRowShown="0" headerRowDxfId="11" dataDxfId="10" headerRowBorderDxfId="8" tableBorderDxfId="9" totalsRowBorderDxfId="7">
  <tableColumns count="7">
    <tableColumn id="1" xr3:uid="{3EDEA45E-8E1D-4526-84F0-BE94DB5889E1}" name="Period" dataDxfId="6"/>
    <tableColumn id="2" xr3:uid="{DB1FE0CF-64FB-4574-9736-1C81020B2631}" name="Volume" dataDxfId="5"/>
    <tableColumn id="3" xr3:uid="{27637F8C-A0E4-4B9D-B94E-4351F1160021}" name="Value" dataDxfId="4" dataCellStyle="Normal 2 2 2"/>
    <tableColumn id="4" xr3:uid="{7381A5B1-3618-48ED-9F94-8DB34F401F52}" name="%Change in Vol" dataDxfId="3" dataCellStyle="Percent 5 4 34"/>
    <tableColumn id="5" xr3:uid="{281E0E2D-54F7-4A44-B57E-525720C56AA4}" name="%Change in Val" dataDxfId="2" dataCellStyle="Percent 5 4 34"/>
    <tableColumn id="6" xr3:uid="{5788E7D1-AC6E-49A8-A16F-62A78E011D4D}" name="Last12MTH" dataDxfId="1" dataCellStyle="Percent">
      <calculatedColumnFormula>DATEDIF(
    DATE(YEAR(MTH_VolVal_PesoNet[[#This Row],[Period]]), MONTH(MTH_VolVal_PesoNet[[#This Row],[Period]]), 1),
    DATE(YEAR(MAX(MTH_VolVal_PesoNet[Period])), MONTH(MAX(MTH_VolVal_PesoNet[Period])), 1),
    "M"
)</calculatedColumnFormula>
    </tableColumn>
    <tableColumn id="7" xr3:uid="{7F289738-C7AC-49DD-8A6E-1B46683E0B30}" name="Quarter" dataDxfId="0" dataCellStyle="Percent">
      <calculatedColumnFormula>TEXT(MTH_VolVal_PesoNet[[#This Row],[Period]], "YYYY") &amp; "-Q" &amp; ROUNDUP(MONTH(MTH_VolVal_PesoNet[[#This Row],[Period]])/3, 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C64D9-7728-409C-9614-4741C000305A}" name="MTH_VolVal_InstaPay" displayName="MTH_VolVal_InstaPay" ref="A1:G94" totalsRowShown="0" headerRowDxfId="23" dataDxfId="22" headerRowBorderDxfId="20" tableBorderDxfId="21" totalsRowBorderDxfId="19">
  <tableColumns count="7">
    <tableColumn id="1" xr3:uid="{B783C26F-653A-485D-AEA1-EDB0DAC11A57}" name="Period" dataDxfId="18"/>
    <tableColumn id="2" xr3:uid="{B20E030B-D3E0-4208-BC15-D3558B6B85D0}" name="Volume" dataDxfId="17" dataCellStyle="Normal 2 2 2"/>
    <tableColumn id="3" xr3:uid="{9368AEBD-BEE2-4C34-8BE2-D4F556893892}" name="Value" dataDxfId="16" dataCellStyle="Normal 2 2 2"/>
    <tableColumn id="4" xr3:uid="{8C056CA1-128D-457D-BFC6-57E33E095495}" name="%Change in Vol" dataDxfId="15" dataCellStyle="Percent 5 4 34"/>
    <tableColumn id="5" xr3:uid="{1A7DEEA5-138F-4A9B-A480-02E6F77584F9}" name="%Change in Val" dataDxfId="14" dataCellStyle="Percent 5 4 34"/>
    <tableColumn id="6" xr3:uid="{A9F11CE4-F601-4CCB-A026-3302B9C0A54D}" name="Last12MTH" dataDxfId="13" dataCellStyle="Percent">
      <calculatedColumnFormula>DATEDIF(
    DATE(YEAR(MTH_VolVal_InstaPay[[#This Row],[Period]]), MONTH(MTH_VolVal_InstaPay[[#This Row],[Period]]), 1),
    DATE(YEAR(MAX(MTH_VolVal_InstaPay[Period])), MONTH(MAX(MTH_VolVal_InstaPay[Period])), 1),
    "M"
)</calculatedColumnFormula>
    </tableColumn>
    <tableColumn id="7" xr3:uid="{1BDC52F8-FFBA-4CC7-8A4D-659793E58922}" name="Quarter" dataDxfId="12" dataCellStyle="Percent">
      <calculatedColumnFormula>TEXT(MTH_VolVal_InstaPay[[#This Row],[Period]], "YYYY") &amp; "-Q" &amp; ROUNDUP(MONTH(MTH_VolVal_InstaPay[[#This Row],[Period]])/3, 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0577-52C2-40EC-9755-574FD908ECC4}">
  <dimension ref="A1:G99"/>
  <sheetViews>
    <sheetView tabSelected="1" topLeftCell="A85" workbookViewId="0">
      <selection activeCell="B105" sqref="B105"/>
    </sheetView>
  </sheetViews>
  <sheetFormatPr defaultRowHeight="15" x14ac:dyDescent="0.25"/>
  <cols>
    <col min="1" max="3" width="14.7109375" customWidth="1"/>
    <col min="4" max="4" width="16.7109375" customWidth="1"/>
    <col min="5" max="5" width="16.85546875" customWidth="1"/>
    <col min="6" max="6" width="12.5703125" customWidth="1"/>
    <col min="7" max="7" width="13.5703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18">
        <v>43069</v>
      </c>
      <c r="B2" s="8">
        <v>329906</v>
      </c>
      <c r="C2" s="19">
        <v>52763876332.32</v>
      </c>
      <c r="D2" s="7"/>
      <c r="E2" s="7"/>
      <c r="F2" s="8">
        <f>DATEDIF(
    DATE(YEAR(MTH_VolVal_PesoNet[[#This Row],[Period]]), MONTH(MTH_VolVal_PesoNet[[#This Row],[Period]]), 1),
    DATE(YEAR(MAX(MTH_VolVal_PesoNet[Period])), MONTH(MAX(MTH_VolVal_PesoNet[Period])), 1),
    "M"
)</f>
        <v>97</v>
      </c>
      <c r="G2" s="9" t="str">
        <f>TEXT(MTH_VolVal_PesoNet[[#This Row],[Period]], "YYYY") &amp; "-Q" &amp; ROUNDUP(MONTH(MTH_VolVal_PesoNet[[#This Row],[Period]])/3, 0)</f>
        <v>2017-Q4</v>
      </c>
    </row>
    <row r="3" spans="1:7" x14ac:dyDescent="0.25">
      <c r="A3" s="18">
        <v>43100</v>
      </c>
      <c r="B3" s="8">
        <v>377933</v>
      </c>
      <c r="C3" s="19">
        <v>52594679537.700005</v>
      </c>
      <c r="D3" s="7">
        <f>(B3-B2)/B2</f>
        <v>0.14557783126102586</v>
      </c>
      <c r="E3" s="7">
        <f>(C3-C2)/C2</f>
        <v>-3.2066786290368752E-3</v>
      </c>
      <c r="F3" s="8">
        <f>DATEDIF(
    DATE(YEAR(MTH_VolVal_PesoNet[[#This Row],[Period]]), MONTH(MTH_VolVal_PesoNet[[#This Row],[Period]]), 1),
    DATE(YEAR(MAX(MTH_VolVal_PesoNet[Period])), MONTH(MAX(MTH_VolVal_PesoNet[Period])), 1),
    "M"
)</f>
        <v>96</v>
      </c>
      <c r="G3" s="10" t="str">
        <f>TEXT(MTH_VolVal_PesoNet[[#This Row],[Period]], "YYYY") &amp; "-Q" &amp; ROUNDUP(MONTH(MTH_VolVal_PesoNet[[#This Row],[Period]])/3, 0)</f>
        <v>2017-Q4</v>
      </c>
    </row>
    <row r="4" spans="1:7" x14ac:dyDescent="0.25">
      <c r="A4" s="18">
        <v>43131</v>
      </c>
      <c r="B4" s="8">
        <v>347679</v>
      </c>
      <c r="C4" s="19">
        <v>49995532439.489975</v>
      </c>
      <c r="D4" s="7">
        <f t="shared" ref="D4:E29" si="0">(B4-B3)/B3</f>
        <v>-8.0051226010959611E-2</v>
      </c>
      <c r="E4" s="7">
        <f t="shared" si="0"/>
        <v>-4.9418441581090995E-2</v>
      </c>
      <c r="F4" s="8">
        <f>DATEDIF(
    DATE(YEAR(MTH_VolVal_PesoNet[[#This Row],[Period]]), MONTH(MTH_VolVal_PesoNet[[#This Row],[Period]]), 1),
    DATE(YEAR(MAX(MTH_VolVal_PesoNet[Period])), MONTH(MAX(MTH_VolVal_PesoNet[Period])), 1),
    "M"
)</f>
        <v>95</v>
      </c>
      <c r="G4" s="10" t="str">
        <f>TEXT(MTH_VolVal_PesoNet[[#This Row],[Period]], "YYYY") &amp; "-Q" &amp; ROUNDUP(MONTH(MTH_VolVal_PesoNet[[#This Row],[Period]])/3, 0)</f>
        <v>2018-Q1</v>
      </c>
    </row>
    <row r="5" spans="1:7" x14ac:dyDescent="0.25">
      <c r="A5" s="18">
        <v>43159</v>
      </c>
      <c r="B5" s="8">
        <v>382878</v>
      </c>
      <c r="C5" s="19">
        <v>56890524976.980003</v>
      </c>
      <c r="D5" s="7">
        <f t="shared" si="0"/>
        <v>0.1012399368382905</v>
      </c>
      <c r="E5" s="7">
        <f t="shared" si="0"/>
        <v>0.13791217336939252</v>
      </c>
      <c r="F5" s="8">
        <f>DATEDIF(
    DATE(YEAR(MTH_VolVal_PesoNet[[#This Row],[Period]]), MONTH(MTH_VolVal_PesoNet[[#This Row],[Period]]), 1),
    DATE(YEAR(MAX(MTH_VolVal_PesoNet[Period])), MONTH(MAX(MTH_VolVal_PesoNet[Period])), 1),
    "M"
)</f>
        <v>94</v>
      </c>
      <c r="G5" s="10" t="str">
        <f>TEXT(MTH_VolVal_PesoNet[[#This Row],[Period]], "YYYY") &amp; "-Q" &amp; ROUNDUP(MONTH(MTH_VolVal_PesoNet[[#This Row],[Period]])/3, 0)</f>
        <v>2018-Q1</v>
      </c>
    </row>
    <row r="6" spans="1:7" x14ac:dyDescent="0.25">
      <c r="A6" s="18">
        <v>43190</v>
      </c>
      <c r="B6" s="8">
        <v>390735</v>
      </c>
      <c r="C6" s="19">
        <v>59037981958.849998</v>
      </c>
      <c r="D6" s="7">
        <f t="shared" si="0"/>
        <v>2.0520896995909924E-2</v>
      </c>
      <c r="E6" s="7">
        <f t="shared" si="0"/>
        <v>3.774718167460988E-2</v>
      </c>
      <c r="F6" s="8">
        <f>DATEDIF(
    DATE(YEAR(MTH_VolVal_PesoNet[[#This Row],[Period]]), MONTH(MTH_VolVal_PesoNet[[#This Row],[Period]]), 1),
    DATE(YEAR(MAX(MTH_VolVal_PesoNet[Period])), MONTH(MAX(MTH_VolVal_PesoNet[Period])), 1),
    "M"
)</f>
        <v>93</v>
      </c>
      <c r="G6" s="10" t="str">
        <f>TEXT(MTH_VolVal_PesoNet[[#This Row],[Period]], "YYYY") &amp; "-Q" &amp; ROUNDUP(MONTH(MTH_VolVal_PesoNet[[#This Row],[Period]])/3, 0)</f>
        <v>2018-Q1</v>
      </c>
    </row>
    <row r="7" spans="1:7" x14ac:dyDescent="0.25">
      <c r="A7" s="18">
        <v>43220</v>
      </c>
      <c r="B7" s="8">
        <v>387990</v>
      </c>
      <c r="C7" s="19">
        <v>62055967772.000008</v>
      </c>
      <c r="D7" s="7">
        <f t="shared" si="0"/>
        <v>-7.0252216975699644E-3</v>
      </c>
      <c r="E7" s="7">
        <f t="shared" si="0"/>
        <v>5.1119393194258782E-2</v>
      </c>
      <c r="F7" s="8">
        <f>DATEDIF(
    DATE(YEAR(MTH_VolVal_PesoNet[[#This Row],[Period]]), MONTH(MTH_VolVal_PesoNet[[#This Row],[Period]]), 1),
    DATE(YEAR(MAX(MTH_VolVal_PesoNet[Period])), MONTH(MAX(MTH_VolVal_PesoNet[Period])), 1),
    "M"
)</f>
        <v>92</v>
      </c>
      <c r="G7" s="10" t="str">
        <f>TEXT(MTH_VolVal_PesoNet[[#This Row],[Period]], "YYYY") &amp; "-Q" &amp; ROUNDUP(MONTH(MTH_VolVal_PesoNet[[#This Row],[Period]])/3, 0)</f>
        <v>2018-Q2</v>
      </c>
    </row>
    <row r="8" spans="1:7" x14ac:dyDescent="0.25">
      <c r="A8" s="18">
        <v>43251</v>
      </c>
      <c r="B8" s="8">
        <v>380567</v>
      </c>
      <c r="C8" s="19">
        <v>61621158810.810005</v>
      </c>
      <c r="D8" s="7">
        <f t="shared" si="0"/>
        <v>-1.9131936390113149E-2</v>
      </c>
      <c r="E8" s="7">
        <f t="shared" si="0"/>
        <v>-7.0067227504618922E-3</v>
      </c>
      <c r="F8" s="8">
        <f>DATEDIF(
    DATE(YEAR(MTH_VolVal_PesoNet[[#This Row],[Period]]), MONTH(MTH_VolVal_PesoNet[[#This Row],[Period]]), 1),
    DATE(YEAR(MAX(MTH_VolVal_PesoNet[Period])), MONTH(MAX(MTH_VolVal_PesoNet[Period])), 1),
    "M"
)</f>
        <v>91</v>
      </c>
      <c r="G8" s="10" t="str">
        <f>TEXT(MTH_VolVal_PesoNet[[#This Row],[Period]], "YYYY") &amp; "-Q" &amp; ROUNDUP(MONTH(MTH_VolVal_PesoNet[[#This Row],[Period]])/3, 0)</f>
        <v>2018-Q2</v>
      </c>
    </row>
    <row r="9" spans="1:7" x14ac:dyDescent="0.25">
      <c r="A9" s="18">
        <v>43281</v>
      </c>
      <c r="B9" s="8">
        <v>353927</v>
      </c>
      <c r="C9" s="19">
        <v>60144279685.110008</v>
      </c>
      <c r="D9" s="7">
        <f t="shared" si="0"/>
        <v>-7.000081457404346E-2</v>
      </c>
      <c r="E9" s="7">
        <f t="shared" si="0"/>
        <v>-2.396707809787103E-2</v>
      </c>
      <c r="F9" s="8">
        <f>DATEDIF(
    DATE(YEAR(MTH_VolVal_PesoNet[[#This Row],[Period]]), MONTH(MTH_VolVal_PesoNet[[#This Row],[Period]]), 1),
    DATE(YEAR(MAX(MTH_VolVal_PesoNet[Period])), MONTH(MAX(MTH_VolVal_PesoNet[Period])), 1),
    "M"
)</f>
        <v>90</v>
      </c>
      <c r="G9" s="10" t="str">
        <f>TEXT(MTH_VolVal_PesoNet[[#This Row],[Period]], "YYYY") &amp; "-Q" &amp; ROUNDUP(MONTH(MTH_VolVal_PesoNet[[#This Row],[Period]])/3, 0)</f>
        <v>2018-Q2</v>
      </c>
    </row>
    <row r="10" spans="1:7" x14ac:dyDescent="0.25">
      <c r="A10" s="18">
        <v>43312</v>
      </c>
      <c r="B10" s="8">
        <v>521551</v>
      </c>
      <c r="C10" s="19">
        <v>65531742753.470009</v>
      </c>
      <c r="D10" s="7">
        <f t="shared" si="0"/>
        <v>0.47361179000189302</v>
      </c>
      <c r="E10" s="7">
        <f t="shared" si="0"/>
        <v>8.9575652024872138E-2</v>
      </c>
      <c r="F10" s="8">
        <f>DATEDIF(
    DATE(YEAR(MTH_VolVal_PesoNet[[#This Row],[Period]]), MONTH(MTH_VolVal_PesoNet[[#This Row],[Period]]), 1),
    DATE(YEAR(MAX(MTH_VolVal_PesoNet[Period])), MONTH(MAX(MTH_VolVal_PesoNet[Period])), 1),
    "M"
)</f>
        <v>89</v>
      </c>
      <c r="G10" s="10" t="str">
        <f>TEXT(MTH_VolVal_PesoNet[[#This Row],[Period]], "YYYY") &amp; "-Q" &amp; ROUNDUP(MONTH(MTH_VolVal_PesoNet[[#This Row],[Period]])/3, 0)</f>
        <v>2018-Q3</v>
      </c>
    </row>
    <row r="11" spans="1:7" x14ac:dyDescent="0.25">
      <c r="A11" s="18">
        <v>43343</v>
      </c>
      <c r="B11" s="8">
        <v>577354</v>
      </c>
      <c r="C11" s="19">
        <v>74449841656.730026</v>
      </c>
      <c r="D11" s="7">
        <f t="shared" si="0"/>
        <v>0.1069943303722934</v>
      </c>
      <c r="E11" s="7">
        <f t="shared" si="0"/>
        <v>0.13608823035288178</v>
      </c>
      <c r="F11" s="8">
        <f>DATEDIF(
    DATE(YEAR(MTH_VolVal_PesoNet[[#This Row],[Period]]), MONTH(MTH_VolVal_PesoNet[[#This Row],[Period]]), 1),
    DATE(YEAR(MAX(MTH_VolVal_PesoNet[Period])), MONTH(MAX(MTH_VolVal_PesoNet[Period])), 1),
    "M"
)</f>
        <v>88</v>
      </c>
      <c r="G11" s="10" t="str">
        <f>TEXT(MTH_VolVal_PesoNet[[#This Row],[Period]], "YYYY") &amp; "-Q" &amp; ROUNDUP(MONTH(MTH_VolVal_PesoNet[[#This Row],[Period]])/3, 0)</f>
        <v>2018-Q3</v>
      </c>
    </row>
    <row r="12" spans="1:7" x14ac:dyDescent="0.25">
      <c r="A12" s="18">
        <v>43373</v>
      </c>
      <c r="B12" s="8">
        <v>555972</v>
      </c>
      <c r="C12" s="19">
        <v>63596892509.379997</v>
      </c>
      <c r="D12" s="7">
        <f t="shared" si="0"/>
        <v>-3.7034471052421913E-2</v>
      </c>
      <c r="E12" s="7">
        <f t="shared" si="0"/>
        <v>-0.14577531537797378</v>
      </c>
      <c r="F12" s="8">
        <f>DATEDIF(
    DATE(YEAR(MTH_VolVal_PesoNet[[#This Row],[Period]]), MONTH(MTH_VolVal_PesoNet[[#This Row],[Period]]), 1),
    DATE(YEAR(MAX(MTH_VolVal_PesoNet[Period])), MONTH(MAX(MTH_VolVal_PesoNet[Period])), 1),
    "M"
)</f>
        <v>87</v>
      </c>
      <c r="G12" s="10" t="str">
        <f>TEXT(MTH_VolVal_PesoNet[[#This Row],[Period]], "YYYY") &amp; "-Q" &amp; ROUNDUP(MONTH(MTH_VolVal_PesoNet[[#This Row],[Period]])/3, 0)</f>
        <v>2018-Q3</v>
      </c>
    </row>
    <row r="13" spans="1:7" x14ac:dyDescent="0.25">
      <c r="A13" s="18">
        <v>43404</v>
      </c>
      <c r="B13" s="8">
        <v>707794</v>
      </c>
      <c r="C13" s="19">
        <v>78370630515.490005</v>
      </c>
      <c r="D13" s="7">
        <f t="shared" si="0"/>
        <v>0.27307490305267174</v>
      </c>
      <c r="E13" s="7">
        <f t="shared" si="0"/>
        <v>0.23230282838003458</v>
      </c>
      <c r="F13" s="8">
        <f>DATEDIF(
    DATE(YEAR(MTH_VolVal_PesoNet[[#This Row],[Period]]), MONTH(MTH_VolVal_PesoNet[[#This Row],[Period]]), 1),
    DATE(YEAR(MAX(MTH_VolVal_PesoNet[Period])), MONTH(MAX(MTH_VolVal_PesoNet[Period])), 1),
    "M"
)</f>
        <v>86</v>
      </c>
      <c r="G13" s="10" t="str">
        <f>TEXT(MTH_VolVal_PesoNet[[#This Row],[Period]], "YYYY") &amp; "-Q" &amp; ROUNDUP(MONTH(MTH_VolVal_PesoNet[[#This Row],[Period]])/3, 0)</f>
        <v>2018-Q4</v>
      </c>
    </row>
    <row r="14" spans="1:7" x14ac:dyDescent="0.25">
      <c r="A14" s="18">
        <v>43434</v>
      </c>
      <c r="B14" s="8">
        <v>702885</v>
      </c>
      <c r="C14" s="19">
        <v>87190769788.769989</v>
      </c>
      <c r="D14" s="7">
        <f t="shared" si="0"/>
        <v>-6.935633814358415E-3</v>
      </c>
      <c r="E14" s="7">
        <f t="shared" si="0"/>
        <v>0.11254393661585609</v>
      </c>
      <c r="F14" s="8">
        <f>DATEDIF(
    DATE(YEAR(MTH_VolVal_PesoNet[[#This Row],[Period]]), MONTH(MTH_VolVal_PesoNet[[#This Row],[Period]]), 1),
    DATE(YEAR(MAX(MTH_VolVal_PesoNet[Period])), MONTH(MAX(MTH_VolVal_PesoNet[Period])), 1),
    "M"
)</f>
        <v>85</v>
      </c>
      <c r="G14" s="10" t="str">
        <f>TEXT(MTH_VolVal_PesoNet[[#This Row],[Period]], "YYYY") &amp; "-Q" &amp; ROUNDUP(MONTH(MTH_VolVal_PesoNet[[#This Row],[Period]])/3, 0)</f>
        <v>2018-Q4</v>
      </c>
    </row>
    <row r="15" spans="1:7" x14ac:dyDescent="0.25">
      <c r="A15" s="18">
        <v>43465</v>
      </c>
      <c r="B15" s="8">
        <v>755514</v>
      </c>
      <c r="C15" s="19">
        <v>86768829503.910004</v>
      </c>
      <c r="D15" s="7">
        <f t="shared" si="0"/>
        <v>7.4875690902494713E-2</v>
      </c>
      <c r="E15" s="7">
        <f t="shared" si="0"/>
        <v>-4.8392769771638203E-3</v>
      </c>
      <c r="F15" s="8">
        <f>DATEDIF(
    DATE(YEAR(MTH_VolVal_PesoNet[[#This Row],[Period]]), MONTH(MTH_VolVal_PesoNet[[#This Row],[Period]]), 1),
    DATE(YEAR(MAX(MTH_VolVal_PesoNet[Period])), MONTH(MAX(MTH_VolVal_PesoNet[Period])), 1),
    "M"
)</f>
        <v>84</v>
      </c>
      <c r="G15" s="10" t="str">
        <f>TEXT(MTH_VolVal_PesoNet[[#This Row],[Period]], "YYYY") &amp; "-Q" &amp; ROUNDUP(MONTH(MTH_VolVal_PesoNet[[#This Row],[Period]])/3, 0)</f>
        <v>2018-Q4</v>
      </c>
    </row>
    <row r="16" spans="1:7" x14ac:dyDescent="0.25">
      <c r="A16" s="18">
        <v>43496</v>
      </c>
      <c r="B16" s="8">
        <v>790836</v>
      </c>
      <c r="C16" s="19">
        <v>84087373468.519974</v>
      </c>
      <c r="D16" s="7">
        <f t="shared" si="0"/>
        <v>4.6752277257602108E-2</v>
      </c>
      <c r="E16" s="7">
        <f t="shared" si="0"/>
        <v>-3.0903448285760238E-2</v>
      </c>
      <c r="F16" s="8">
        <f>DATEDIF(
    DATE(YEAR(MTH_VolVal_PesoNet[[#This Row],[Period]]), MONTH(MTH_VolVal_PesoNet[[#This Row],[Period]]), 1),
    DATE(YEAR(MAX(MTH_VolVal_PesoNet[Period])), MONTH(MAX(MTH_VolVal_PesoNet[Period])), 1),
    "M"
)</f>
        <v>83</v>
      </c>
      <c r="G16" s="10" t="str">
        <f>TEXT(MTH_VolVal_PesoNet[[#This Row],[Period]], "YYYY") &amp; "-Q" &amp; ROUNDUP(MONTH(MTH_VolVal_PesoNet[[#This Row],[Period]])/3, 0)</f>
        <v>2019-Q1</v>
      </c>
    </row>
    <row r="17" spans="1:7" x14ac:dyDescent="0.25">
      <c r="A17" s="18">
        <v>43524</v>
      </c>
      <c r="B17" s="8">
        <v>774295</v>
      </c>
      <c r="C17" s="19">
        <v>81839001917.960022</v>
      </c>
      <c r="D17" s="7">
        <f t="shared" si="0"/>
        <v>-2.0915840958175905E-2</v>
      </c>
      <c r="E17" s="7">
        <f t="shared" si="0"/>
        <v>-2.6738515639350788E-2</v>
      </c>
      <c r="F17" s="8">
        <f>DATEDIF(
    DATE(YEAR(MTH_VolVal_PesoNet[[#This Row],[Period]]), MONTH(MTH_VolVal_PesoNet[[#This Row],[Period]]), 1),
    DATE(YEAR(MAX(MTH_VolVal_PesoNet[Period])), MONTH(MAX(MTH_VolVal_PesoNet[Period])), 1),
    "M"
)</f>
        <v>82</v>
      </c>
      <c r="G17" s="10" t="str">
        <f>TEXT(MTH_VolVal_PesoNet[[#This Row],[Period]], "YYYY") &amp; "-Q" &amp; ROUNDUP(MONTH(MTH_VolVal_PesoNet[[#This Row],[Period]])/3, 0)</f>
        <v>2019-Q1</v>
      </c>
    </row>
    <row r="18" spans="1:7" x14ac:dyDescent="0.25">
      <c r="A18" s="18">
        <v>43555</v>
      </c>
      <c r="B18" s="8">
        <v>892145</v>
      </c>
      <c r="C18" s="19">
        <v>92441113334.079987</v>
      </c>
      <c r="D18" s="7">
        <f t="shared" si="0"/>
        <v>0.15220297173557881</v>
      </c>
      <c r="E18" s="7">
        <f t="shared" si="0"/>
        <v>0.12954839584612862</v>
      </c>
      <c r="F18" s="8">
        <f>DATEDIF(
    DATE(YEAR(MTH_VolVal_PesoNet[[#This Row],[Period]]), MONTH(MTH_VolVal_PesoNet[[#This Row],[Period]]), 1),
    DATE(YEAR(MAX(MTH_VolVal_PesoNet[Period])), MONTH(MAX(MTH_VolVal_PesoNet[Period])), 1),
    "M"
)</f>
        <v>81</v>
      </c>
      <c r="G18" s="10" t="str">
        <f>TEXT(MTH_VolVal_PesoNet[[#This Row],[Period]], "YYYY") &amp; "-Q" &amp; ROUNDUP(MONTH(MTH_VolVal_PesoNet[[#This Row],[Period]])/3, 0)</f>
        <v>2019-Q1</v>
      </c>
    </row>
    <row r="19" spans="1:7" x14ac:dyDescent="0.25">
      <c r="A19" s="18">
        <v>43585</v>
      </c>
      <c r="B19" s="8">
        <v>939690</v>
      </c>
      <c r="C19" s="19">
        <v>93545126607.279984</v>
      </c>
      <c r="D19" s="7">
        <f t="shared" si="0"/>
        <v>5.329290642216232E-2</v>
      </c>
      <c r="E19" s="7">
        <f t="shared" si="0"/>
        <v>1.1942881618161816E-2</v>
      </c>
      <c r="F19" s="8">
        <f>DATEDIF(
    DATE(YEAR(MTH_VolVal_PesoNet[[#This Row],[Period]]), MONTH(MTH_VolVal_PesoNet[[#This Row],[Period]]), 1),
    DATE(YEAR(MAX(MTH_VolVal_PesoNet[Period])), MONTH(MAX(MTH_VolVal_PesoNet[Period])), 1),
    "M"
)</f>
        <v>80</v>
      </c>
      <c r="G19" s="10" t="str">
        <f>TEXT(MTH_VolVal_PesoNet[[#This Row],[Period]], "YYYY") &amp; "-Q" &amp; ROUNDUP(MONTH(MTH_VolVal_PesoNet[[#This Row],[Period]])/3, 0)</f>
        <v>2019-Q2</v>
      </c>
    </row>
    <row r="20" spans="1:7" x14ac:dyDescent="0.25">
      <c r="A20" s="18">
        <v>43616</v>
      </c>
      <c r="B20" s="8">
        <v>1008763</v>
      </c>
      <c r="C20" s="19">
        <v>99169964125.720016</v>
      </c>
      <c r="D20" s="7">
        <f t="shared" si="0"/>
        <v>7.3506156285583546E-2</v>
      </c>
      <c r="E20" s="7">
        <f t="shared" si="0"/>
        <v>6.0129669202909498E-2</v>
      </c>
      <c r="F20" s="8">
        <f>DATEDIF(
    DATE(YEAR(MTH_VolVal_PesoNet[[#This Row],[Period]]), MONTH(MTH_VolVal_PesoNet[[#This Row],[Period]]), 1),
    DATE(YEAR(MAX(MTH_VolVal_PesoNet[Period])), MONTH(MAX(MTH_VolVal_PesoNet[Period])), 1),
    "M"
)</f>
        <v>79</v>
      </c>
      <c r="G20" s="10" t="str">
        <f>TEXT(MTH_VolVal_PesoNet[[#This Row],[Period]], "YYYY") &amp; "-Q" &amp; ROUNDUP(MONTH(MTH_VolVal_PesoNet[[#This Row],[Period]])/3, 0)</f>
        <v>2019-Q2</v>
      </c>
    </row>
    <row r="21" spans="1:7" x14ac:dyDescent="0.25">
      <c r="A21" s="18">
        <v>43646</v>
      </c>
      <c r="B21" s="8">
        <v>916793</v>
      </c>
      <c r="C21" s="19">
        <v>88103695918.899979</v>
      </c>
      <c r="D21" s="7">
        <f t="shared" si="0"/>
        <v>-9.1171067931714381E-2</v>
      </c>
      <c r="E21" s="7">
        <f t="shared" si="0"/>
        <v>-0.1115889100533613</v>
      </c>
      <c r="F21" s="8">
        <f>DATEDIF(
    DATE(YEAR(MTH_VolVal_PesoNet[[#This Row],[Period]]), MONTH(MTH_VolVal_PesoNet[[#This Row],[Period]]), 1),
    DATE(YEAR(MAX(MTH_VolVal_PesoNet[Period])), MONTH(MAX(MTH_VolVal_PesoNet[Period])), 1),
    "M"
)</f>
        <v>78</v>
      </c>
      <c r="G21" s="10" t="str">
        <f>TEXT(MTH_VolVal_PesoNet[[#This Row],[Period]], "YYYY") &amp; "-Q" &amp; ROUNDUP(MONTH(MTH_VolVal_PesoNet[[#This Row],[Period]])/3, 0)</f>
        <v>2019-Q2</v>
      </c>
    </row>
    <row r="22" spans="1:7" x14ac:dyDescent="0.25">
      <c r="A22" s="18">
        <v>43677</v>
      </c>
      <c r="B22" s="8">
        <v>1100192</v>
      </c>
      <c r="C22" s="19">
        <v>108910374316.32002</v>
      </c>
      <c r="D22" s="7">
        <f t="shared" si="0"/>
        <v>0.20004406665408658</v>
      </c>
      <c r="E22" s="7">
        <f t="shared" si="0"/>
        <v>0.23616124363923083</v>
      </c>
      <c r="F22" s="8">
        <f>DATEDIF(
    DATE(YEAR(MTH_VolVal_PesoNet[[#This Row],[Period]]), MONTH(MTH_VolVal_PesoNet[[#This Row],[Period]]), 1),
    DATE(YEAR(MAX(MTH_VolVal_PesoNet[Period])), MONTH(MAX(MTH_VolVal_PesoNet[Period])), 1),
    "M"
)</f>
        <v>77</v>
      </c>
      <c r="G22" s="10" t="str">
        <f>TEXT(MTH_VolVal_PesoNet[[#This Row],[Period]], "YYYY") &amp; "-Q" &amp; ROUNDUP(MONTH(MTH_VolVal_PesoNet[[#This Row],[Period]])/3, 0)</f>
        <v>2019-Q3</v>
      </c>
    </row>
    <row r="23" spans="1:7" x14ac:dyDescent="0.25">
      <c r="A23" s="18">
        <v>43708</v>
      </c>
      <c r="B23" s="8">
        <v>1101293</v>
      </c>
      <c r="C23" s="19">
        <v>118356303949.16</v>
      </c>
      <c r="D23" s="7">
        <f t="shared" si="0"/>
        <v>1.00073441726535E-3</v>
      </c>
      <c r="E23" s="7">
        <f t="shared" si="0"/>
        <v>8.6731219979146887E-2</v>
      </c>
      <c r="F23" s="8">
        <f>DATEDIF(
    DATE(YEAR(MTH_VolVal_PesoNet[[#This Row],[Period]]), MONTH(MTH_VolVal_PesoNet[[#This Row],[Period]]), 1),
    DATE(YEAR(MAX(MTH_VolVal_PesoNet[Period])), MONTH(MAX(MTH_VolVal_PesoNet[Period])), 1),
    "M"
)</f>
        <v>76</v>
      </c>
      <c r="G23" s="10" t="str">
        <f>TEXT(MTH_VolVal_PesoNet[[#This Row],[Period]], "YYYY") &amp; "-Q" &amp; ROUNDUP(MONTH(MTH_VolVal_PesoNet[[#This Row],[Period]])/3, 0)</f>
        <v>2019-Q3</v>
      </c>
    </row>
    <row r="24" spans="1:7" x14ac:dyDescent="0.25">
      <c r="A24" s="18">
        <v>43738</v>
      </c>
      <c r="B24" s="8">
        <v>1152062</v>
      </c>
      <c r="C24" s="19">
        <v>115910267080.8</v>
      </c>
      <c r="D24" s="7">
        <f t="shared" si="0"/>
        <v>4.6099448557286753E-2</v>
      </c>
      <c r="E24" s="7">
        <f t="shared" si="0"/>
        <v>-2.0666722318489233E-2</v>
      </c>
      <c r="F24" s="8">
        <f>DATEDIF(
    DATE(YEAR(MTH_VolVal_PesoNet[[#This Row],[Period]]), MONTH(MTH_VolVal_PesoNet[[#This Row],[Period]]), 1),
    DATE(YEAR(MAX(MTH_VolVal_PesoNet[Period])), MONTH(MAX(MTH_VolVal_PesoNet[Period])), 1),
    "M"
)</f>
        <v>75</v>
      </c>
      <c r="G24" s="10" t="str">
        <f>TEXT(MTH_VolVal_PesoNet[[#This Row],[Period]], "YYYY") &amp; "-Q" &amp; ROUNDUP(MONTH(MTH_VolVal_PesoNet[[#This Row],[Period]])/3, 0)</f>
        <v>2019-Q3</v>
      </c>
    </row>
    <row r="25" spans="1:7" x14ac:dyDescent="0.25">
      <c r="A25" s="18">
        <v>43769</v>
      </c>
      <c r="B25" s="8">
        <v>1191831</v>
      </c>
      <c r="C25" s="19">
        <v>124090290143.15001</v>
      </c>
      <c r="D25" s="7">
        <f t="shared" si="0"/>
        <v>3.4519843550086714E-2</v>
      </c>
      <c r="E25" s="7">
        <f t="shared" si="0"/>
        <v>7.0572031868823021E-2</v>
      </c>
      <c r="F25" s="8">
        <f>DATEDIF(
    DATE(YEAR(MTH_VolVal_PesoNet[[#This Row],[Period]]), MONTH(MTH_VolVal_PesoNet[[#This Row],[Period]]), 1),
    DATE(YEAR(MAX(MTH_VolVal_PesoNet[Period])), MONTH(MAX(MTH_VolVal_PesoNet[Period])), 1),
    "M"
)</f>
        <v>74</v>
      </c>
      <c r="G25" s="10" t="str">
        <f>TEXT(MTH_VolVal_PesoNet[[#This Row],[Period]], "YYYY") &amp; "-Q" &amp; ROUNDUP(MONTH(MTH_VolVal_PesoNet[[#This Row],[Period]])/3, 0)</f>
        <v>2019-Q4</v>
      </c>
    </row>
    <row r="26" spans="1:7" x14ac:dyDescent="0.25">
      <c r="A26" s="18">
        <v>43799</v>
      </c>
      <c r="B26" s="8">
        <v>1080607</v>
      </c>
      <c r="C26" s="19">
        <v>125400691466.50998</v>
      </c>
      <c r="D26" s="7">
        <f t="shared" si="0"/>
        <v>-9.3321955881328814E-2</v>
      </c>
      <c r="E26" s="7">
        <f t="shared" si="0"/>
        <v>1.0560063336529368E-2</v>
      </c>
      <c r="F26" s="8">
        <f>DATEDIF(
    DATE(YEAR(MTH_VolVal_PesoNet[[#This Row],[Period]]), MONTH(MTH_VolVal_PesoNet[[#This Row],[Period]]), 1),
    DATE(YEAR(MAX(MTH_VolVal_PesoNet[Period])), MONTH(MAX(MTH_VolVal_PesoNet[Period])), 1),
    "M"
)</f>
        <v>73</v>
      </c>
      <c r="G26" s="10" t="str">
        <f>TEXT(MTH_VolVal_PesoNet[[#This Row],[Period]], "YYYY") &amp; "-Q" &amp; ROUNDUP(MONTH(MTH_VolVal_PesoNet[[#This Row],[Period]])/3, 0)</f>
        <v>2019-Q4</v>
      </c>
    </row>
    <row r="27" spans="1:7" x14ac:dyDescent="0.25">
      <c r="A27" s="18">
        <v>43830</v>
      </c>
      <c r="B27" s="8">
        <v>1166156</v>
      </c>
      <c r="C27" s="19">
        <v>127212716320.14998</v>
      </c>
      <c r="D27" s="7">
        <f t="shared" si="0"/>
        <v>7.9167541946332021E-2</v>
      </c>
      <c r="E27" s="7">
        <f t="shared" si="0"/>
        <v>1.4449879282555042E-2</v>
      </c>
      <c r="F27" s="8">
        <f>DATEDIF(
    DATE(YEAR(MTH_VolVal_PesoNet[[#This Row],[Period]]), MONTH(MTH_VolVal_PesoNet[[#This Row],[Period]]), 1),
    DATE(YEAR(MAX(MTH_VolVal_PesoNet[Period])), MONTH(MAX(MTH_VolVal_PesoNet[Period])), 1),
    "M"
)</f>
        <v>72</v>
      </c>
      <c r="G27" s="10" t="str">
        <f>TEXT(MTH_VolVal_PesoNet[[#This Row],[Period]], "YYYY") &amp; "-Q" &amp; ROUNDUP(MONTH(MTH_VolVal_PesoNet[[#This Row],[Period]])/3, 0)</f>
        <v>2019-Q4</v>
      </c>
    </row>
    <row r="28" spans="1:7" x14ac:dyDescent="0.25">
      <c r="A28" s="18">
        <v>43861</v>
      </c>
      <c r="B28" s="8">
        <v>1319574</v>
      </c>
      <c r="C28" s="19">
        <v>138879663103.09</v>
      </c>
      <c r="D28" s="7">
        <f t="shared" si="0"/>
        <v>0.13155872799179527</v>
      </c>
      <c r="E28" s="7">
        <f t="shared" si="0"/>
        <v>9.1712111182174483E-2</v>
      </c>
      <c r="F28" s="8">
        <f>DATEDIF(
    DATE(YEAR(MTH_VolVal_PesoNet[[#This Row],[Period]]), MONTH(MTH_VolVal_PesoNet[[#This Row],[Period]]), 1),
    DATE(YEAR(MAX(MTH_VolVal_PesoNet[Period])), MONTH(MAX(MTH_VolVal_PesoNet[Period])), 1),
    "M"
)</f>
        <v>71</v>
      </c>
      <c r="G28" s="10" t="str">
        <f>TEXT(MTH_VolVal_PesoNet[[#This Row],[Period]], "YYYY") &amp; "-Q" &amp; ROUNDUP(MONTH(MTH_VolVal_PesoNet[[#This Row],[Period]])/3, 0)</f>
        <v>2020-Q1</v>
      </c>
    </row>
    <row r="29" spans="1:7" x14ac:dyDescent="0.25">
      <c r="A29" s="18">
        <v>43890</v>
      </c>
      <c r="B29" s="8">
        <v>1162757</v>
      </c>
      <c r="C29" s="19">
        <v>127606609632.45004</v>
      </c>
      <c r="D29" s="7">
        <f t="shared" si="0"/>
        <v>-0.11883911019768501</v>
      </c>
      <c r="E29" s="7">
        <f t="shared" si="0"/>
        <v>-8.1171376850705607E-2</v>
      </c>
      <c r="F29" s="8">
        <f>DATEDIF(
    DATE(YEAR(MTH_VolVal_PesoNet[[#This Row],[Period]]), MONTH(MTH_VolVal_PesoNet[[#This Row],[Period]]), 1),
    DATE(YEAR(MAX(MTH_VolVal_PesoNet[Period])), MONTH(MAX(MTH_VolVal_PesoNet[Period])), 1),
    "M"
)</f>
        <v>70</v>
      </c>
      <c r="G29" s="10" t="str">
        <f>TEXT(MTH_VolVal_PesoNet[[#This Row],[Period]], "YYYY") &amp; "-Q" &amp; ROUNDUP(MONTH(MTH_VolVal_PesoNet[[#This Row],[Period]])/3, 0)</f>
        <v>2020-Q1</v>
      </c>
    </row>
    <row r="30" spans="1:7" x14ac:dyDescent="0.25">
      <c r="A30" s="18">
        <v>43921</v>
      </c>
      <c r="B30" s="8">
        <v>1221143</v>
      </c>
      <c r="C30" s="19">
        <v>148548046932.88</v>
      </c>
      <c r="D30" s="7">
        <f t="shared" ref="D30:E45" si="1">(B30-B29)/B29</f>
        <v>5.0213415184772056E-2</v>
      </c>
      <c r="E30" s="7">
        <f t="shared" si="1"/>
        <v>0.16410934637906568</v>
      </c>
      <c r="F30" s="8">
        <f>DATEDIF(
    DATE(YEAR(MTH_VolVal_PesoNet[[#This Row],[Period]]), MONTH(MTH_VolVal_PesoNet[[#This Row],[Period]]), 1),
    DATE(YEAR(MAX(MTH_VolVal_PesoNet[Period])), MONTH(MAX(MTH_VolVal_PesoNet[Period])), 1),
    "M"
)</f>
        <v>69</v>
      </c>
      <c r="G30" s="10" t="str">
        <f>TEXT(MTH_VolVal_PesoNet[[#This Row],[Period]], "YYYY") &amp; "-Q" &amp; ROUNDUP(MONTH(MTH_VolVal_PesoNet[[#This Row],[Period]])/3, 0)</f>
        <v>2020-Q1</v>
      </c>
    </row>
    <row r="31" spans="1:7" x14ac:dyDescent="0.25">
      <c r="A31" s="18">
        <v>43951</v>
      </c>
      <c r="B31" s="8">
        <v>1080515</v>
      </c>
      <c r="C31" s="19">
        <v>175331898478.84003</v>
      </c>
      <c r="D31" s="7">
        <f t="shared" si="1"/>
        <v>-0.11516095985482454</v>
      </c>
      <c r="E31" s="7">
        <f t="shared" si="1"/>
        <v>0.1803042995109996</v>
      </c>
      <c r="F31" s="8">
        <f>DATEDIF(
    DATE(YEAR(MTH_VolVal_PesoNet[[#This Row],[Period]]), MONTH(MTH_VolVal_PesoNet[[#This Row],[Period]]), 1),
    DATE(YEAR(MAX(MTH_VolVal_PesoNet[Period])), MONTH(MAX(MTH_VolVal_PesoNet[Period])), 1),
    "M"
)</f>
        <v>68</v>
      </c>
      <c r="G31" s="10" t="str">
        <f>TEXT(MTH_VolVal_PesoNet[[#This Row],[Period]], "YYYY") &amp; "-Q" &amp; ROUNDUP(MONTH(MTH_VolVal_PesoNet[[#This Row],[Period]])/3, 0)</f>
        <v>2020-Q2</v>
      </c>
    </row>
    <row r="32" spans="1:7" x14ac:dyDescent="0.25">
      <c r="A32" s="18">
        <v>43982</v>
      </c>
      <c r="B32" s="8">
        <v>4596153</v>
      </c>
      <c r="C32" s="19">
        <v>203856865235.75</v>
      </c>
      <c r="D32" s="7">
        <f t="shared" si="1"/>
        <v>3.2536688523528134</v>
      </c>
      <c r="E32" s="7">
        <f t="shared" si="1"/>
        <v>0.16269125586609967</v>
      </c>
      <c r="F32" s="8">
        <f>DATEDIF(
    DATE(YEAR(MTH_VolVal_PesoNet[[#This Row],[Period]]), MONTH(MTH_VolVal_PesoNet[[#This Row],[Period]]), 1),
    DATE(YEAR(MAX(MTH_VolVal_PesoNet[Period])), MONTH(MAX(MTH_VolVal_PesoNet[Period])), 1),
    "M"
)</f>
        <v>67</v>
      </c>
      <c r="G32" s="10" t="str">
        <f>TEXT(MTH_VolVal_PesoNet[[#This Row],[Period]], "YYYY") &amp; "-Q" &amp; ROUNDUP(MONTH(MTH_VolVal_PesoNet[[#This Row],[Period]])/3, 0)</f>
        <v>2020-Q2</v>
      </c>
    </row>
    <row r="33" spans="1:7" x14ac:dyDescent="0.25">
      <c r="A33" s="18">
        <v>44012</v>
      </c>
      <c r="B33" s="8">
        <v>2605240</v>
      </c>
      <c r="C33" s="19">
        <v>240595275435.39996</v>
      </c>
      <c r="D33" s="7">
        <f t="shared" si="1"/>
        <v>-0.43316943539520986</v>
      </c>
      <c r="E33" s="7">
        <f t="shared" si="1"/>
        <v>0.18021669349797897</v>
      </c>
      <c r="F33" s="8">
        <f>DATEDIF(
    DATE(YEAR(MTH_VolVal_PesoNet[[#This Row],[Period]]), MONTH(MTH_VolVal_PesoNet[[#This Row],[Period]]), 1),
    DATE(YEAR(MAX(MTH_VolVal_PesoNet[Period])), MONTH(MAX(MTH_VolVal_PesoNet[Period])), 1),
    "M"
)</f>
        <v>66</v>
      </c>
      <c r="G33" s="10" t="str">
        <f>TEXT(MTH_VolVal_PesoNet[[#This Row],[Period]], "YYYY") &amp; "-Q" &amp; ROUNDUP(MONTH(MTH_VolVal_PesoNet[[#This Row],[Period]])/3, 0)</f>
        <v>2020-Q2</v>
      </c>
    </row>
    <row r="34" spans="1:7" x14ac:dyDescent="0.25">
      <c r="A34" s="18">
        <v>44043</v>
      </c>
      <c r="B34" s="8">
        <v>2610715</v>
      </c>
      <c r="C34" s="19">
        <v>250752363337.99997</v>
      </c>
      <c r="D34" s="7">
        <f t="shared" si="1"/>
        <v>2.1015338318158788E-3</v>
      </c>
      <c r="E34" s="7">
        <f t="shared" si="1"/>
        <v>4.2216489431136782E-2</v>
      </c>
      <c r="F34" s="8">
        <f>DATEDIF(
    DATE(YEAR(MTH_VolVal_PesoNet[[#This Row],[Period]]), MONTH(MTH_VolVal_PesoNet[[#This Row],[Period]]), 1),
    DATE(YEAR(MAX(MTH_VolVal_PesoNet[Period])), MONTH(MAX(MTH_VolVal_PesoNet[Period])), 1),
    "M"
)</f>
        <v>65</v>
      </c>
      <c r="G34" s="10" t="str">
        <f>TEXT(MTH_VolVal_PesoNet[[#This Row],[Period]], "YYYY") &amp; "-Q" &amp; ROUNDUP(MONTH(MTH_VolVal_PesoNet[[#This Row],[Period]])/3, 0)</f>
        <v>2020-Q3</v>
      </c>
    </row>
    <row r="35" spans="1:7" x14ac:dyDescent="0.25">
      <c r="A35" s="18">
        <v>44074</v>
      </c>
      <c r="B35" s="8">
        <v>2681279</v>
      </c>
      <c r="C35" s="19">
        <v>252869218827.37994</v>
      </c>
      <c r="D35" s="7">
        <f t="shared" si="1"/>
        <v>2.7028610936084559E-2</v>
      </c>
      <c r="E35" s="7">
        <f t="shared" si="1"/>
        <v>8.4420161038585035E-3</v>
      </c>
      <c r="F35" s="8">
        <f>DATEDIF(
    DATE(YEAR(MTH_VolVal_PesoNet[[#This Row],[Period]]), MONTH(MTH_VolVal_PesoNet[[#This Row],[Period]]), 1),
    DATE(YEAR(MAX(MTH_VolVal_PesoNet[Period])), MONTH(MAX(MTH_VolVal_PesoNet[Period])), 1),
    "M"
)</f>
        <v>64</v>
      </c>
      <c r="G35" s="10" t="str">
        <f>TEXT(MTH_VolVal_PesoNet[[#This Row],[Period]], "YYYY") &amp; "-Q" &amp; ROUNDUP(MONTH(MTH_VolVal_PesoNet[[#This Row],[Period]])/3, 0)</f>
        <v>2020-Q3</v>
      </c>
    </row>
    <row r="36" spans="1:7" x14ac:dyDescent="0.25">
      <c r="A36" s="18">
        <v>44104</v>
      </c>
      <c r="B36" s="8">
        <v>4199049</v>
      </c>
      <c r="C36" s="19">
        <v>301023045655.52002</v>
      </c>
      <c r="D36" s="7">
        <f t="shared" si="1"/>
        <v>0.5660619428265391</v>
      </c>
      <c r="E36" s="7">
        <f t="shared" si="1"/>
        <v>0.19042976860308203</v>
      </c>
      <c r="F36" s="8">
        <f>DATEDIF(
    DATE(YEAR(MTH_VolVal_PesoNet[[#This Row],[Period]]), MONTH(MTH_VolVal_PesoNet[[#This Row],[Period]]), 1),
    DATE(YEAR(MAX(MTH_VolVal_PesoNet[Period])), MONTH(MAX(MTH_VolVal_PesoNet[Period])), 1),
    "M"
)</f>
        <v>63</v>
      </c>
      <c r="G36" s="10" t="str">
        <f>TEXT(MTH_VolVal_PesoNet[[#This Row],[Period]], "YYYY") &amp; "-Q" &amp; ROUNDUP(MONTH(MTH_VolVal_PesoNet[[#This Row],[Period]])/3, 0)</f>
        <v>2020-Q3</v>
      </c>
    </row>
    <row r="37" spans="1:7" x14ac:dyDescent="0.25">
      <c r="A37" s="18">
        <v>44135</v>
      </c>
      <c r="B37" s="8">
        <v>4942613</v>
      </c>
      <c r="C37" s="19">
        <v>292500371492.5899</v>
      </c>
      <c r="D37" s="7">
        <f t="shared" si="1"/>
        <v>0.17707914339651668</v>
      </c>
      <c r="E37" s="7">
        <f t="shared" si="1"/>
        <v>-2.8312364405093281E-2</v>
      </c>
      <c r="F37" s="8">
        <f>DATEDIF(
    DATE(YEAR(MTH_VolVal_PesoNet[[#This Row],[Period]]), MONTH(MTH_VolVal_PesoNet[[#This Row],[Period]]), 1),
    DATE(YEAR(MAX(MTH_VolVal_PesoNet[Period])), MONTH(MAX(MTH_VolVal_PesoNet[Period])), 1),
    "M"
)</f>
        <v>62</v>
      </c>
      <c r="G37" s="10" t="str">
        <f>TEXT(MTH_VolVal_PesoNet[[#This Row],[Period]], "YYYY") &amp; "-Q" &amp; ROUNDUP(MONTH(MTH_VolVal_PesoNet[[#This Row],[Period]])/3, 0)</f>
        <v>2020-Q4</v>
      </c>
    </row>
    <row r="38" spans="1:7" x14ac:dyDescent="0.25">
      <c r="A38" s="18">
        <v>44165</v>
      </c>
      <c r="B38" s="8">
        <v>4846896</v>
      </c>
      <c r="C38" s="19">
        <v>292468505809.40002</v>
      </c>
      <c r="D38" s="7">
        <f t="shared" si="1"/>
        <v>-1.9365667512305739E-2</v>
      </c>
      <c r="E38" s="7">
        <f t="shared" si="1"/>
        <v>-1.0894236826871054E-4</v>
      </c>
      <c r="F38" s="8">
        <f>DATEDIF(
    DATE(YEAR(MTH_VolVal_PesoNet[[#This Row],[Period]]), MONTH(MTH_VolVal_PesoNet[[#This Row],[Period]]), 1),
    DATE(YEAR(MAX(MTH_VolVal_PesoNet[Period])), MONTH(MAX(MTH_VolVal_PesoNet[Period])), 1),
    "M"
)</f>
        <v>61</v>
      </c>
      <c r="G38" s="10" t="str">
        <f>TEXT(MTH_VolVal_PesoNet[[#This Row],[Period]], "YYYY") &amp; "-Q" &amp; ROUNDUP(MONTH(MTH_VolVal_PesoNet[[#This Row],[Period]])/3, 0)</f>
        <v>2020-Q4</v>
      </c>
    </row>
    <row r="39" spans="1:7" x14ac:dyDescent="0.25">
      <c r="A39" s="18">
        <v>44196</v>
      </c>
      <c r="B39" s="8">
        <v>5548742</v>
      </c>
      <c r="C39" s="19">
        <v>366638228153.01007</v>
      </c>
      <c r="D39" s="7">
        <f t="shared" si="1"/>
        <v>0.14480318950520085</v>
      </c>
      <c r="E39" s="7">
        <f t="shared" si="1"/>
        <v>0.25359900594543333</v>
      </c>
      <c r="F39" s="8">
        <f>DATEDIF(
    DATE(YEAR(MTH_VolVal_PesoNet[[#This Row],[Period]]), MONTH(MTH_VolVal_PesoNet[[#This Row],[Period]]), 1),
    DATE(YEAR(MAX(MTH_VolVal_PesoNet[Period])), MONTH(MAX(MTH_VolVal_PesoNet[Period])), 1),
    "M"
)</f>
        <v>60</v>
      </c>
      <c r="G39" s="10" t="str">
        <f>TEXT(MTH_VolVal_PesoNet[[#This Row],[Period]], "YYYY") &amp; "-Q" &amp; ROUNDUP(MONTH(MTH_VolVal_PesoNet[[#This Row],[Period]])/3, 0)</f>
        <v>2020-Q4</v>
      </c>
    </row>
    <row r="40" spans="1:7" x14ac:dyDescent="0.25">
      <c r="A40" s="18">
        <v>44227</v>
      </c>
      <c r="B40" s="8">
        <v>5183629</v>
      </c>
      <c r="C40" s="19">
        <v>297458990051.33014</v>
      </c>
      <c r="D40" s="7">
        <f t="shared" si="1"/>
        <v>-6.5801041028759305E-2</v>
      </c>
      <c r="E40" s="7">
        <f t="shared" si="1"/>
        <v>-0.18868528372008492</v>
      </c>
      <c r="F40" s="8">
        <f>DATEDIF(
    DATE(YEAR(MTH_VolVal_PesoNet[[#This Row],[Period]]), MONTH(MTH_VolVal_PesoNet[[#This Row],[Period]]), 1),
    DATE(YEAR(MAX(MTH_VolVal_PesoNet[Period])), MONTH(MAX(MTH_VolVal_PesoNet[Period])), 1),
    "M"
)</f>
        <v>59</v>
      </c>
      <c r="G40" s="10" t="str">
        <f>TEXT(MTH_VolVal_PesoNet[[#This Row],[Period]], "YYYY") &amp; "-Q" &amp; ROUNDUP(MONTH(MTH_VolVal_PesoNet[[#This Row],[Period]])/3, 0)</f>
        <v>2021-Q1</v>
      </c>
    </row>
    <row r="41" spans="1:7" x14ac:dyDescent="0.25">
      <c r="A41" s="18">
        <v>44255</v>
      </c>
      <c r="B41" s="8">
        <v>5184401</v>
      </c>
      <c r="C41" s="19">
        <v>292384480205.52997</v>
      </c>
      <c r="D41" s="7">
        <f t="shared" si="1"/>
        <v>1.4893041149356947E-4</v>
      </c>
      <c r="E41" s="7">
        <f t="shared" si="1"/>
        <v>-1.7059527583699868E-2</v>
      </c>
      <c r="F41" s="8">
        <f>DATEDIF(
    DATE(YEAR(MTH_VolVal_PesoNet[[#This Row],[Period]]), MONTH(MTH_VolVal_PesoNet[[#This Row],[Period]]), 1),
    DATE(YEAR(MAX(MTH_VolVal_PesoNet[Period])), MONTH(MAX(MTH_VolVal_PesoNet[Period])), 1),
    "M"
)</f>
        <v>58</v>
      </c>
      <c r="G41" s="10" t="str">
        <f>TEXT(MTH_VolVal_PesoNet[[#This Row],[Period]], "YYYY") &amp; "-Q" &amp; ROUNDUP(MONTH(MTH_VolVal_PesoNet[[#This Row],[Period]])/3, 0)</f>
        <v>2021-Q1</v>
      </c>
    </row>
    <row r="42" spans="1:7" x14ac:dyDescent="0.25">
      <c r="A42" s="18">
        <v>44286</v>
      </c>
      <c r="B42" s="8">
        <v>5876152</v>
      </c>
      <c r="C42" s="19">
        <v>359727346907.75</v>
      </c>
      <c r="D42" s="7">
        <f t="shared" si="1"/>
        <v>0.13342930070417006</v>
      </c>
      <c r="E42" s="7">
        <f t="shared" si="1"/>
        <v>0.23032298655141256</v>
      </c>
      <c r="F42" s="8">
        <f>DATEDIF(
    DATE(YEAR(MTH_VolVal_PesoNet[[#This Row],[Period]]), MONTH(MTH_VolVal_PesoNet[[#This Row],[Period]]), 1),
    DATE(YEAR(MAX(MTH_VolVal_PesoNet[Period])), MONTH(MAX(MTH_VolVal_PesoNet[Period])), 1),
    "M"
)</f>
        <v>57</v>
      </c>
      <c r="G42" s="10" t="str">
        <f>TEXT(MTH_VolVal_PesoNet[[#This Row],[Period]], "YYYY") &amp; "-Q" &amp; ROUNDUP(MONTH(MTH_VolVal_PesoNet[[#This Row],[Period]])/3, 0)</f>
        <v>2021-Q1</v>
      </c>
    </row>
    <row r="43" spans="1:7" x14ac:dyDescent="0.25">
      <c r="A43" s="18">
        <v>44316</v>
      </c>
      <c r="B43" s="8">
        <v>5534633</v>
      </c>
      <c r="C43" s="19">
        <v>328675907783.07001</v>
      </c>
      <c r="D43" s="7">
        <f t="shared" si="1"/>
        <v>-5.8119497249220241E-2</v>
      </c>
      <c r="E43" s="7">
        <f t="shared" si="1"/>
        <v>-8.6319373246435321E-2</v>
      </c>
      <c r="F43" s="8">
        <f>DATEDIF(
    DATE(YEAR(MTH_VolVal_PesoNet[[#This Row],[Period]]), MONTH(MTH_VolVal_PesoNet[[#This Row],[Period]]), 1),
    DATE(YEAR(MAX(MTH_VolVal_PesoNet[Period])), MONTH(MAX(MTH_VolVal_PesoNet[Period])), 1),
    "M"
)</f>
        <v>56</v>
      </c>
      <c r="G43" s="10" t="str">
        <f>TEXT(MTH_VolVal_PesoNet[[#This Row],[Period]], "YYYY") &amp; "-Q" &amp; ROUNDUP(MONTH(MTH_VolVal_PesoNet[[#This Row],[Period]])/3, 0)</f>
        <v>2021-Q2</v>
      </c>
    </row>
    <row r="44" spans="1:7" x14ac:dyDescent="0.25">
      <c r="A44" s="18">
        <v>44347</v>
      </c>
      <c r="B44" s="8">
        <v>5605795</v>
      </c>
      <c r="C44" s="19">
        <v>341837407316.49005</v>
      </c>
      <c r="D44" s="7">
        <f t="shared" si="1"/>
        <v>1.2857582426874556E-2</v>
      </c>
      <c r="E44" s="7">
        <f t="shared" si="1"/>
        <v>4.0044004509471959E-2</v>
      </c>
      <c r="F44" s="8">
        <f>DATEDIF(
    DATE(YEAR(MTH_VolVal_PesoNet[[#This Row],[Period]]), MONTH(MTH_VolVal_PesoNet[[#This Row],[Period]]), 1),
    DATE(YEAR(MAX(MTH_VolVal_PesoNet[Period])), MONTH(MAX(MTH_VolVal_PesoNet[Period])), 1),
    "M"
)</f>
        <v>55</v>
      </c>
      <c r="G44" s="10" t="str">
        <f>TEXT(MTH_VolVal_PesoNet[[#This Row],[Period]], "YYYY") &amp; "-Q" &amp; ROUNDUP(MONTH(MTH_VolVal_PesoNet[[#This Row],[Period]])/3, 0)</f>
        <v>2021-Q2</v>
      </c>
    </row>
    <row r="45" spans="1:7" x14ac:dyDescent="0.25">
      <c r="A45" s="18">
        <v>44377</v>
      </c>
      <c r="B45" s="8">
        <v>4278923</v>
      </c>
      <c r="C45" s="19">
        <v>362528476338.41992</v>
      </c>
      <c r="D45" s="7">
        <f t="shared" si="1"/>
        <v>-0.23669648997153839</v>
      </c>
      <c r="E45" s="7">
        <f t="shared" si="1"/>
        <v>6.0528978336104253E-2</v>
      </c>
      <c r="F45" s="8">
        <f>DATEDIF(
    DATE(YEAR(MTH_VolVal_PesoNet[[#This Row],[Period]]), MONTH(MTH_VolVal_PesoNet[[#This Row],[Period]]), 1),
    DATE(YEAR(MAX(MTH_VolVal_PesoNet[Period])), MONTH(MAX(MTH_VolVal_PesoNet[Period])), 1),
    "M"
)</f>
        <v>54</v>
      </c>
      <c r="G45" s="10" t="str">
        <f>TEXT(MTH_VolVal_PesoNet[[#This Row],[Period]], "YYYY") &amp; "-Q" &amp; ROUNDUP(MONTH(MTH_VolVal_PesoNet[[#This Row],[Period]])/3, 0)</f>
        <v>2021-Q2</v>
      </c>
    </row>
    <row r="46" spans="1:7" x14ac:dyDescent="0.25">
      <c r="A46" s="18">
        <v>44408</v>
      </c>
      <c r="B46" s="8">
        <v>7576643</v>
      </c>
      <c r="C46" s="19">
        <v>376518709587.90997</v>
      </c>
      <c r="D46" s="7">
        <f t="shared" ref="D46:E61" si="2">(B46-B45)/B45</f>
        <v>0.77068925989086501</v>
      </c>
      <c r="E46" s="7">
        <f t="shared" si="2"/>
        <v>3.8590715385431365E-2</v>
      </c>
      <c r="F46" s="8">
        <f>DATEDIF(
    DATE(YEAR(MTH_VolVal_PesoNet[[#This Row],[Period]]), MONTH(MTH_VolVal_PesoNet[[#This Row],[Period]]), 1),
    DATE(YEAR(MAX(MTH_VolVal_PesoNet[Period])), MONTH(MAX(MTH_VolVal_PesoNet[Period])), 1),
    "M"
)</f>
        <v>53</v>
      </c>
      <c r="G46" s="10" t="str">
        <f>TEXT(MTH_VolVal_PesoNet[[#This Row],[Period]], "YYYY") &amp; "-Q" &amp; ROUNDUP(MONTH(MTH_VolVal_PesoNet[[#This Row],[Period]])/3, 0)</f>
        <v>2021-Q3</v>
      </c>
    </row>
    <row r="47" spans="1:7" x14ac:dyDescent="0.25">
      <c r="A47" s="18">
        <v>44439</v>
      </c>
      <c r="B47" s="8">
        <v>6193658</v>
      </c>
      <c r="C47" s="19">
        <v>390943997095.37994</v>
      </c>
      <c r="D47" s="7">
        <f t="shared" si="2"/>
        <v>-0.18253268630975486</v>
      </c>
      <c r="E47" s="7">
        <f t="shared" si="2"/>
        <v>3.831227277724944E-2</v>
      </c>
      <c r="F47" s="8">
        <f>DATEDIF(
    DATE(YEAR(MTH_VolVal_PesoNet[[#This Row],[Period]]), MONTH(MTH_VolVal_PesoNet[[#This Row],[Period]]), 1),
    DATE(YEAR(MAX(MTH_VolVal_PesoNet[Period])), MONTH(MAX(MTH_VolVal_PesoNet[Period])), 1),
    "M"
)</f>
        <v>52</v>
      </c>
      <c r="G47" s="10" t="str">
        <f>TEXT(MTH_VolVal_PesoNet[[#This Row],[Period]], "YYYY") &amp; "-Q" &amp; ROUNDUP(MONTH(MTH_VolVal_PesoNet[[#This Row],[Period]])/3, 0)</f>
        <v>2021-Q3</v>
      </c>
    </row>
    <row r="48" spans="1:7" x14ac:dyDescent="0.25">
      <c r="A48" s="18">
        <v>44469</v>
      </c>
      <c r="B48" s="8">
        <v>6383359</v>
      </c>
      <c r="C48" s="19">
        <v>429920601299.74005</v>
      </c>
      <c r="D48" s="7">
        <f t="shared" si="2"/>
        <v>3.062826523518089E-2</v>
      </c>
      <c r="E48" s="7">
        <f t="shared" si="2"/>
        <v>9.9698689566656409E-2</v>
      </c>
      <c r="F48" s="8">
        <f>DATEDIF(
    DATE(YEAR(MTH_VolVal_PesoNet[[#This Row],[Period]]), MONTH(MTH_VolVal_PesoNet[[#This Row],[Period]]), 1),
    DATE(YEAR(MAX(MTH_VolVal_PesoNet[Period])), MONTH(MAX(MTH_VolVal_PesoNet[Period])), 1),
    "M"
)</f>
        <v>51</v>
      </c>
      <c r="G48" s="10" t="str">
        <f>TEXT(MTH_VolVal_PesoNet[[#This Row],[Period]], "YYYY") &amp; "-Q" &amp; ROUNDUP(MONTH(MTH_VolVal_PesoNet[[#This Row],[Period]])/3, 0)</f>
        <v>2021-Q3</v>
      </c>
    </row>
    <row r="49" spans="1:7" x14ac:dyDescent="0.25">
      <c r="A49" s="18">
        <v>44500</v>
      </c>
      <c r="B49" s="8">
        <v>6475772</v>
      </c>
      <c r="C49" s="19">
        <v>412417351663.72998</v>
      </c>
      <c r="D49" s="7">
        <f t="shared" si="2"/>
        <v>1.4477174164887171E-2</v>
      </c>
      <c r="E49" s="7">
        <f t="shared" si="2"/>
        <v>-4.0712749245079394E-2</v>
      </c>
      <c r="F49" s="8">
        <f>DATEDIF(
    DATE(YEAR(MTH_VolVal_PesoNet[[#This Row],[Period]]), MONTH(MTH_VolVal_PesoNet[[#This Row],[Period]]), 1),
    DATE(YEAR(MAX(MTH_VolVal_PesoNet[Period])), MONTH(MAX(MTH_VolVal_PesoNet[Period])), 1),
    "M"
)</f>
        <v>50</v>
      </c>
      <c r="G49" s="10" t="str">
        <f>TEXT(MTH_VolVal_PesoNet[[#This Row],[Period]], "YYYY") &amp; "-Q" &amp; ROUNDUP(MONTH(MTH_VolVal_PesoNet[[#This Row],[Period]])/3, 0)</f>
        <v>2021-Q4</v>
      </c>
    </row>
    <row r="50" spans="1:7" x14ac:dyDescent="0.25">
      <c r="A50" s="18">
        <v>44530</v>
      </c>
      <c r="B50" s="8">
        <v>6628889</v>
      </c>
      <c r="C50" s="19">
        <v>441851619814.93994</v>
      </c>
      <c r="D50" s="7">
        <f t="shared" si="2"/>
        <v>2.364459403450276E-2</v>
      </c>
      <c r="E50" s="7">
        <f t="shared" si="2"/>
        <v>7.1370101263851737E-2</v>
      </c>
      <c r="F50" s="8">
        <f>DATEDIF(
    DATE(YEAR(MTH_VolVal_PesoNet[[#This Row],[Period]]), MONTH(MTH_VolVal_PesoNet[[#This Row],[Period]]), 1),
    DATE(YEAR(MAX(MTH_VolVal_PesoNet[Period])), MONTH(MAX(MTH_VolVal_PesoNet[Period])), 1),
    "M"
)</f>
        <v>49</v>
      </c>
      <c r="G50" s="10" t="str">
        <f>TEXT(MTH_VolVal_PesoNet[[#This Row],[Period]], "YYYY") &amp; "-Q" &amp; ROUNDUP(MONTH(MTH_VolVal_PesoNet[[#This Row],[Period]])/3, 0)</f>
        <v>2021-Q4</v>
      </c>
    </row>
    <row r="51" spans="1:7" x14ac:dyDescent="0.25">
      <c r="A51" s="18">
        <v>44561</v>
      </c>
      <c r="B51" s="8">
        <v>7011982</v>
      </c>
      <c r="C51" s="19">
        <v>502929781424.58997</v>
      </c>
      <c r="D51" s="7">
        <f t="shared" si="2"/>
        <v>5.7791433828504296E-2</v>
      </c>
      <c r="E51" s="7">
        <f t="shared" si="2"/>
        <v>0.1382322908202335</v>
      </c>
      <c r="F51" s="8">
        <f>DATEDIF(
    DATE(YEAR(MTH_VolVal_PesoNet[[#This Row],[Period]]), MONTH(MTH_VolVal_PesoNet[[#This Row],[Period]]), 1),
    DATE(YEAR(MAX(MTH_VolVal_PesoNet[Period])), MONTH(MAX(MTH_VolVal_PesoNet[Period])), 1),
    "M"
)</f>
        <v>48</v>
      </c>
      <c r="G51" s="10" t="str">
        <f>TEXT(MTH_VolVal_PesoNet[[#This Row],[Period]], "YYYY") &amp; "-Q" &amp; ROUNDUP(MONTH(MTH_VolVal_PesoNet[[#This Row],[Period]])/3, 0)</f>
        <v>2021-Q4</v>
      </c>
    </row>
    <row r="52" spans="1:7" x14ac:dyDescent="0.25">
      <c r="A52" s="18">
        <v>44592</v>
      </c>
      <c r="B52" s="8">
        <v>6459851</v>
      </c>
      <c r="C52" s="19">
        <v>449346433704.74988</v>
      </c>
      <c r="D52" s="7">
        <f t="shared" si="2"/>
        <v>-7.8741074920044007E-2</v>
      </c>
      <c r="E52" s="7">
        <f t="shared" si="2"/>
        <v>-0.10654240353009291</v>
      </c>
      <c r="F52" s="8">
        <f>DATEDIF(
    DATE(YEAR(MTH_VolVal_PesoNet[[#This Row],[Period]]), MONTH(MTH_VolVal_PesoNet[[#This Row],[Period]]), 1),
    DATE(YEAR(MAX(MTH_VolVal_PesoNet[Period])), MONTH(MAX(MTH_VolVal_PesoNet[Period])), 1),
    "M"
)</f>
        <v>47</v>
      </c>
      <c r="G52" s="10" t="str">
        <f>TEXT(MTH_VolVal_PesoNet[[#This Row],[Period]], "YYYY") &amp; "-Q" &amp; ROUNDUP(MONTH(MTH_VolVal_PesoNet[[#This Row],[Period]])/3, 0)</f>
        <v>2022-Q1</v>
      </c>
    </row>
    <row r="53" spans="1:7" x14ac:dyDescent="0.25">
      <c r="A53" s="18">
        <v>44620</v>
      </c>
      <c r="B53" s="8">
        <v>6320447</v>
      </c>
      <c r="C53" s="19">
        <v>418028200639.13995</v>
      </c>
      <c r="D53" s="7">
        <f t="shared" si="2"/>
        <v>-2.1580064307984814E-2</v>
      </c>
      <c r="E53" s="7">
        <f t="shared" si="2"/>
        <v>-6.9697299714607419E-2</v>
      </c>
      <c r="F53" s="8">
        <f>DATEDIF(
    DATE(YEAR(MTH_VolVal_PesoNet[[#This Row],[Period]]), MONTH(MTH_VolVal_PesoNet[[#This Row],[Period]]), 1),
    DATE(YEAR(MAX(MTH_VolVal_PesoNet[Period])), MONTH(MAX(MTH_VolVal_PesoNet[Period])), 1),
    "M"
)</f>
        <v>46</v>
      </c>
      <c r="G53" s="10" t="str">
        <f>TEXT(MTH_VolVal_PesoNet[[#This Row],[Period]], "YYYY") &amp; "-Q" &amp; ROUNDUP(MONTH(MTH_VolVal_PesoNet[[#This Row],[Period]])/3, 0)</f>
        <v>2022-Q1</v>
      </c>
    </row>
    <row r="54" spans="1:7" x14ac:dyDescent="0.25">
      <c r="A54" s="18">
        <v>44651</v>
      </c>
      <c r="B54" s="8">
        <v>7013473</v>
      </c>
      <c r="C54" s="19">
        <v>531842985947.22992</v>
      </c>
      <c r="D54" s="7">
        <f t="shared" si="2"/>
        <v>0.10964825747292874</v>
      </c>
      <c r="E54" s="7">
        <f t="shared" si="2"/>
        <v>0.27226580679024526</v>
      </c>
      <c r="F54" s="8">
        <f>DATEDIF(
    DATE(YEAR(MTH_VolVal_PesoNet[[#This Row],[Period]]), MONTH(MTH_VolVal_PesoNet[[#This Row],[Period]]), 1),
    DATE(YEAR(MAX(MTH_VolVal_PesoNet[Period])), MONTH(MAX(MTH_VolVal_PesoNet[Period])), 1),
    "M"
)</f>
        <v>45</v>
      </c>
      <c r="G54" s="10" t="str">
        <f>TEXT(MTH_VolVal_PesoNet[[#This Row],[Period]], "YYYY") &amp; "-Q" &amp; ROUNDUP(MONTH(MTH_VolVal_PesoNet[[#This Row],[Period]])/3, 0)</f>
        <v>2022-Q1</v>
      </c>
    </row>
    <row r="55" spans="1:7" x14ac:dyDescent="0.25">
      <c r="A55" s="18">
        <v>44681</v>
      </c>
      <c r="B55" s="8">
        <v>6624534</v>
      </c>
      <c r="C55" s="19">
        <v>477907959500.36005</v>
      </c>
      <c r="D55" s="7">
        <f t="shared" si="2"/>
        <v>-5.545597737383462E-2</v>
      </c>
      <c r="E55" s="7">
        <f t="shared" si="2"/>
        <v>-0.10141155918566795</v>
      </c>
      <c r="F55" s="8">
        <f>DATEDIF(
    DATE(YEAR(MTH_VolVal_PesoNet[[#This Row],[Period]]), MONTH(MTH_VolVal_PesoNet[[#This Row],[Period]]), 1),
    DATE(YEAR(MAX(MTH_VolVal_PesoNet[Period])), MONTH(MAX(MTH_VolVal_PesoNet[Period])), 1),
    "M"
)</f>
        <v>44</v>
      </c>
      <c r="G55" s="10" t="str">
        <f>TEXT(MTH_VolVal_PesoNet[[#This Row],[Period]], "YYYY") &amp; "-Q" &amp; ROUNDUP(MONTH(MTH_VolVal_PesoNet[[#This Row],[Period]])/3, 0)</f>
        <v>2022-Q2</v>
      </c>
    </row>
    <row r="56" spans="1:7" x14ac:dyDescent="0.25">
      <c r="A56" s="18">
        <v>44712</v>
      </c>
      <c r="B56" s="8">
        <v>7074548</v>
      </c>
      <c r="C56" s="19">
        <v>511349137528.99005</v>
      </c>
      <c r="D56" s="7">
        <f t="shared" si="2"/>
        <v>6.7931419779866775E-2</v>
      </c>
      <c r="E56" s="7">
        <f t="shared" si="2"/>
        <v>6.997409723745103E-2</v>
      </c>
      <c r="F56" s="8">
        <f>DATEDIF(
    DATE(YEAR(MTH_VolVal_PesoNet[[#This Row],[Period]]), MONTH(MTH_VolVal_PesoNet[[#This Row],[Period]]), 1),
    DATE(YEAR(MAX(MTH_VolVal_PesoNet[Period])), MONTH(MAX(MTH_VolVal_PesoNet[Period])), 1),
    "M"
)</f>
        <v>43</v>
      </c>
      <c r="G56" s="10" t="str">
        <f>TEXT(MTH_VolVal_PesoNet[[#This Row],[Period]], "YYYY") &amp; "-Q" &amp; ROUNDUP(MONTH(MTH_VolVal_PesoNet[[#This Row],[Period]])/3, 0)</f>
        <v>2022-Q2</v>
      </c>
    </row>
    <row r="57" spans="1:7" x14ac:dyDescent="0.25">
      <c r="A57" s="18">
        <v>44742</v>
      </c>
      <c r="B57" s="8">
        <v>7266013</v>
      </c>
      <c r="C57" s="19">
        <v>548116420510.29004</v>
      </c>
      <c r="D57" s="7">
        <f t="shared" si="2"/>
        <v>2.7063919843359603E-2</v>
      </c>
      <c r="E57" s="7">
        <f t="shared" si="2"/>
        <v>7.1902503168327983E-2</v>
      </c>
      <c r="F57" s="8">
        <f>DATEDIF(
    DATE(YEAR(MTH_VolVal_PesoNet[[#This Row],[Period]]), MONTH(MTH_VolVal_PesoNet[[#This Row],[Period]]), 1),
    DATE(YEAR(MAX(MTH_VolVal_PesoNet[Period])), MONTH(MAX(MTH_VolVal_PesoNet[Period])), 1),
    "M"
)</f>
        <v>42</v>
      </c>
      <c r="G57" s="10" t="str">
        <f>TEXT(MTH_VolVal_PesoNet[[#This Row],[Period]], "YYYY") &amp; "-Q" &amp; ROUNDUP(MONTH(MTH_VolVal_PesoNet[[#This Row],[Period]])/3, 0)</f>
        <v>2022-Q2</v>
      </c>
    </row>
    <row r="58" spans="1:7" x14ac:dyDescent="0.25">
      <c r="A58" s="18">
        <v>44773</v>
      </c>
      <c r="B58" s="8">
        <v>7226814</v>
      </c>
      <c r="C58" s="19">
        <v>527377234854.86993</v>
      </c>
      <c r="D58" s="7">
        <f t="shared" si="2"/>
        <v>-5.3948430865730628E-3</v>
      </c>
      <c r="E58" s="7">
        <f t="shared" si="2"/>
        <v>-3.783719093128457E-2</v>
      </c>
      <c r="F58" s="8">
        <f>DATEDIF(
    DATE(YEAR(MTH_VolVal_PesoNet[[#This Row],[Period]]), MONTH(MTH_VolVal_PesoNet[[#This Row],[Period]]), 1),
    DATE(YEAR(MAX(MTH_VolVal_PesoNet[Period])), MONTH(MAX(MTH_VolVal_PesoNet[Period])), 1),
    "M"
)</f>
        <v>41</v>
      </c>
      <c r="G58" s="10" t="str">
        <f>TEXT(MTH_VolVal_PesoNet[[#This Row],[Period]], "YYYY") &amp; "-Q" &amp; ROUNDUP(MONTH(MTH_VolVal_PesoNet[[#This Row],[Period]])/3, 0)</f>
        <v>2022-Q3</v>
      </c>
    </row>
    <row r="59" spans="1:7" x14ac:dyDescent="0.25">
      <c r="A59" s="18">
        <v>44804</v>
      </c>
      <c r="B59" s="8">
        <v>7547709</v>
      </c>
      <c r="C59" s="19">
        <v>562858089896.31018</v>
      </c>
      <c r="D59" s="7">
        <f t="shared" si="2"/>
        <v>4.4403384395945433E-2</v>
      </c>
      <c r="E59" s="7">
        <f t="shared" si="2"/>
        <v>6.7277942043145453E-2</v>
      </c>
      <c r="F59" s="8">
        <f>DATEDIF(
    DATE(YEAR(MTH_VolVal_PesoNet[[#This Row],[Period]]), MONTH(MTH_VolVal_PesoNet[[#This Row],[Period]]), 1),
    DATE(YEAR(MAX(MTH_VolVal_PesoNet[Period])), MONTH(MAX(MTH_VolVal_PesoNet[Period])), 1),
    "M"
)</f>
        <v>40</v>
      </c>
      <c r="G59" s="10" t="str">
        <f>TEXT(MTH_VolVal_PesoNet[[#This Row],[Period]], "YYYY") &amp; "-Q" &amp; ROUNDUP(MONTH(MTH_VolVal_PesoNet[[#This Row],[Period]])/3, 0)</f>
        <v>2022-Q3</v>
      </c>
    </row>
    <row r="60" spans="1:7" x14ac:dyDescent="0.25">
      <c r="A60" s="18">
        <v>44834</v>
      </c>
      <c r="B60" s="8">
        <v>7112667</v>
      </c>
      <c r="C60" s="19">
        <v>572049621383.82996</v>
      </c>
      <c r="D60" s="7">
        <f t="shared" si="2"/>
        <v>-5.7638947129519696E-2</v>
      </c>
      <c r="E60" s="7">
        <f t="shared" si="2"/>
        <v>1.633010460809587E-2</v>
      </c>
      <c r="F60" s="8">
        <f>DATEDIF(
    DATE(YEAR(MTH_VolVal_PesoNet[[#This Row],[Period]]), MONTH(MTH_VolVal_PesoNet[[#This Row],[Period]]), 1),
    DATE(YEAR(MAX(MTH_VolVal_PesoNet[Period])), MONTH(MAX(MTH_VolVal_PesoNet[Period])), 1),
    "M"
)</f>
        <v>39</v>
      </c>
      <c r="G60" s="10" t="str">
        <f>TEXT(MTH_VolVal_PesoNet[[#This Row],[Period]], "YYYY") &amp; "-Q" &amp; ROUNDUP(MONTH(MTH_VolVal_PesoNet[[#This Row],[Period]])/3, 0)</f>
        <v>2022-Q3</v>
      </c>
    </row>
    <row r="61" spans="1:7" x14ac:dyDescent="0.25">
      <c r="A61" s="18">
        <v>44865</v>
      </c>
      <c r="B61" s="8">
        <v>7032941</v>
      </c>
      <c r="C61" s="19">
        <v>539045467084.88007</v>
      </c>
      <c r="D61" s="7">
        <f t="shared" si="2"/>
        <v>-1.1209016252272179E-2</v>
      </c>
      <c r="E61" s="7">
        <f t="shared" si="2"/>
        <v>-5.7694565410445375E-2</v>
      </c>
      <c r="F61" s="8">
        <f>DATEDIF(
    DATE(YEAR(MTH_VolVal_PesoNet[[#This Row],[Period]]), MONTH(MTH_VolVal_PesoNet[[#This Row],[Period]]), 1),
    DATE(YEAR(MAX(MTH_VolVal_PesoNet[Period])), MONTH(MAX(MTH_VolVal_PesoNet[Period])), 1),
    "M"
)</f>
        <v>38</v>
      </c>
      <c r="G61" s="10" t="str">
        <f>TEXT(MTH_VolVal_PesoNet[[#This Row],[Period]], "YYYY") &amp; "-Q" &amp; ROUNDUP(MONTH(MTH_VolVal_PesoNet[[#This Row],[Period]])/3, 0)</f>
        <v>2022-Q4</v>
      </c>
    </row>
    <row r="62" spans="1:7" x14ac:dyDescent="0.25">
      <c r="A62" s="18">
        <v>44895</v>
      </c>
      <c r="B62" s="8">
        <v>7445820</v>
      </c>
      <c r="C62" s="19">
        <v>610554357551.6001</v>
      </c>
      <c r="D62" s="7">
        <f t="shared" ref="D62:E77" si="3">(B62-B61)/B61</f>
        <v>5.8706450118094264E-2</v>
      </c>
      <c r="E62" s="7">
        <f t="shared" si="3"/>
        <v>0.13265836526450187</v>
      </c>
      <c r="F62" s="8">
        <f>DATEDIF(
    DATE(YEAR(MTH_VolVal_PesoNet[[#This Row],[Period]]), MONTH(MTH_VolVal_PesoNet[[#This Row],[Period]]), 1),
    DATE(YEAR(MAX(MTH_VolVal_PesoNet[Period])), MONTH(MAX(MTH_VolVal_PesoNet[Period])), 1),
    "M"
)</f>
        <v>37</v>
      </c>
      <c r="G62" s="10" t="str">
        <f>TEXT(MTH_VolVal_PesoNet[[#This Row],[Period]], "YYYY") &amp; "-Q" &amp; ROUNDUP(MONTH(MTH_VolVal_PesoNet[[#This Row],[Period]])/3, 0)</f>
        <v>2022-Q4</v>
      </c>
    </row>
    <row r="63" spans="1:7" x14ac:dyDescent="0.25">
      <c r="A63" s="18">
        <v>44926</v>
      </c>
      <c r="B63" s="8">
        <v>7687347</v>
      </c>
      <c r="C63" s="19">
        <v>657691263287.53076</v>
      </c>
      <c r="D63" s="7">
        <f t="shared" si="3"/>
        <v>3.2437931618008495E-2</v>
      </c>
      <c r="E63" s="7">
        <f t="shared" si="3"/>
        <v>7.7203454783216344E-2</v>
      </c>
      <c r="F63" s="8">
        <f>DATEDIF(
    DATE(YEAR(MTH_VolVal_PesoNet[[#This Row],[Period]]), MONTH(MTH_VolVal_PesoNet[[#This Row],[Period]]), 1),
    DATE(YEAR(MAX(MTH_VolVal_PesoNet[Period])), MONTH(MAX(MTH_VolVal_PesoNet[Period])), 1),
    "M"
)</f>
        <v>36</v>
      </c>
      <c r="G63" s="10" t="str">
        <f>TEXT(MTH_VolVal_PesoNet[[#This Row],[Period]], "YYYY") &amp; "-Q" &amp; ROUNDUP(MONTH(MTH_VolVal_PesoNet[[#This Row],[Period]])/3, 0)</f>
        <v>2022-Q4</v>
      </c>
    </row>
    <row r="64" spans="1:7" x14ac:dyDescent="0.25">
      <c r="A64" s="18">
        <v>44957</v>
      </c>
      <c r="B64" s="8">
        <v>7373308</v>
      </c>
      <c r="C64" s="19">
        <v>607861379277.21997</v>
      </c>
      <c r="D64" s="7">
        <f t="shared" si="3"/>
        <v>-4.0851414668805763E-2</v>
      </c>
      <c r="E64" s="7">
        <f t="shared" si="3"/>
        <v>-7.5764856235479697E-2</v>
      </c>
      <c r="F64" s="8">
        <f>DATEDIF(
    DATE(YEAR(MTH_VolVal_PesoNet[[#This Row],[Period]]), MONTH(MTH_VolVal_PesoNet[[#This Row],[Period]]), 1),
    DATE(YEAR(MAX(MTH_VolVal_PesoNet[Period])), MONTH(MAX(MTH_VolVal_PesoNet[Period])), 1),
    "M"
)</f>
        <v>35</v>
      </c>
      <c r="G64" s="10" t="str">
        <f>TEXT(MTH_VolVal_PesoNet[[#This Row],[Period]], "YYYY") &amp; "-Q" &amp; ROUNDUP(MONTH(MTH_VolVal_PesoNet[[#This Row],[Period]])/3, 0)</f>
        <v>2023-Q1</v>
      </c>
    </row>
    <row r="65" spans="1:7" x14ac:dyDescent="0.25">
      <c r="A65" s="18">
        <v>44985</v>
      </c>
      <c r="B65" s="8">
        <v>7196088</v>
      </c>
      <c r="C65" s="19">
        <v>542678209161.09998</v>
      </c>
      <c r="D65" s="7">
        <f t="shared" si="3"/>
        <v>-2.4035344786898907E-2</v>
      </c>
      <c r="E65" s="7">
        <f t="shared" si="3"/>
        <v>-0.10723361006028431</v>
      </c>
      <c r="F65" s="8">
        <f>DATEDIF(
    DATE(YEAR(MTH_VolVal_PesoNet[[#This Row],[Period]]), MONTH(MTH_VolVal_PesoNet[[#This Row],[Period]]), 1),
    DATE(YEAR(MAX(MTH_VolVal_PesoNet[Period])), MONTH(MAX(MTH_VolVal_PesoNet[Period])), 1),
    "M"
)</f>
        <v>34</v>
      </c>
      <c r="G65" s="10" t="str">
        <f>TEXT(MTH_VolVal_PesoNet[[#This Row],[Period]], "YYYY") &amp; "-Q" &amp; ROUNDUP(MONTH(MTH_VolVal_PesoNet[[#This Row],[Period]])/3, 0)</f>
        <v>2023-Q1</v>
      </c>
    </row>
    <row r="66" spans="1:7" x14ac:dyDescent="0.25">
      <c r="A66" s="18">
        <v>45016</v>
      </c>
      <c r="B66" s="8">
        <v>7906419</v>
      </c>
      <c r="C66" s="19">
        <v>650068861485.84998</v>
      </c>
      <c r="D66" s="7">
        <f t="shared" si="3"/>
        <v>9.8710716155777978E-2</v>
      </c>
      <c r="E66" s="7">
        <f t="shared" si="3"/>
        <v>0.19789011335236772</v>
      </c>
      <c r="F66" s="8">
        <f>DATEDIF(
    DATE(YEAR(MTH_VolVal_PesoNet[[#This Row],[Period]]), MONTH(MTH_VolVal_PesoNet[[#This Row],[Period]]), 1),
    DATE(YEAR(MAX(MTH_VolVal_PesoNet[Period])), MONTH(MAX(MTH_VolVal_PesoNet[Period])), 1),
    "M"
)</f>
        <v>33</v>
      </c>
      <c r="G66" s="10" t="str">
        <f>TEXT(MTH_VolVal_PesoNet[[#This Row],[Period]], "YYYY") &amp; "-Q" &amp; ROUNDUP(MONTH(MTH_VolVal_PesoNet[[#This Row],[Period]])/3, 0)</f>
        <v>2023-Q1</v>
      </c>
    </row>
    <row r="67" spans="1:7" x14ac:dyDescent="0.25">
      <c r="A67" s="18">
        <v>45046</v>
      </c>
      <c r="B67" s="8">
        <v>6954840</v>
      </c>
      <c r="C67" s="19">
        <v>556118053406.33972</v>
      </c>
      <c r="D67" s="7">
        <f t="shared" si="3"/>
        <v>-0.12035524552898094</v>
      </c>
      <c r="E67" s="7">
        <f t="shared" si="3"/>
        <v>-0.14452439371541145</v>
      </c>
      <c r="F67" s="8">
        <f>DATEDIF(
    DATE(YEAR(MTH_VolVal_PesoNet[[#This Row],[Period]]), MONTH(MTH_VolVal_PesoNet[[#This Row],[Period]]), 1),
    DATE(YEAR(MAX(MTH_VolVal_PesoNet[Period])), MONTH(MAX(MTH_VolVal_PesoNet[Period])), 1),
    "M"
)</f>
        <v>32</v>
      </c>
      <c r="G67" s="10" t="str">
        <f>TEXT(MTH_VolVal_PesoNet[[#This Row],[Period]], "YYYY") &amp; "-Q" &amp; ROUNDUP(MONTH(MTH_VolVal_PesoNet[[#This Row],[Period]])/3, 0)</f>
        <v>2023-Q2</v>
      </c>
    </row>
    <row r="68" spans="1:7" x14ac:dyDescent="0.25">
      <c r="A68" s="18">
        <v>45077</v>
      </c>
      <c r="B68" s="8">
        <v>7954904</v>
      </c>
      <c r="C68" s="19">
        <v>660753292495.90002</v>
      </c>
      <c r="D68" s="7">
        <f t="shared" si="3"/>
        <v>0.14379396219035953</v>
      </c>
      <c r="E68" s="7">
        <f t="shared" si="3"/>
        <v>0.1881529262512654</v>
      </c>
      <c r="F68" s="8">
        <f>DATEDIF(
    DATE(YEAR(MTH_VolVal_PesoNet[[#This Row],[Period]]), MONTH(MTH_VolVal_PesoNet[[#This Row],[Period]]), 1),
    DATE(YEAR(MAX(MTH_VolVal_PesoNet[Period])), MONTH(MAX(MTH_VolVal_PesoNet[Period])), 1),
    "M"
)</f>
        <v>31</v>
      </c>
      <c r="G68" s="10" t="str">
        <f>TEXT(MTH_VolVal_PesoNet[[#This Row],[Period]], "YYYY") &amp; "-Q" &amp; ROUNDUP(MONTH(MTH_VolVal_PesoNet[[#This Row],[Period]])/3, 0)</f>
        <v>2023-Q2</v>
      </c>
    </row>
    <row r="69" spans="1:7" x14ac:dyDescent="0.25">
      <c r="A69" s="18">
        <v>45107</v>
      </c>
      <c r="B69" s="8">
        <v>7502382</v>
      </c>
      <c r="C69" s="19">
        <v>647415230798.60999</v>
      </c>
      <c r="D69" s="7">
        <f t="shared" si="3"/>
        <v>-5.6885915907973247E-2</v>
      </c>
      <c r="E69" s="7">
        <f t="shared" si="3"/>
        <v>-2.0186144887613711E-2</v>
      </c>
      <c r="F69" s="8">
        <f>DATEDIF(
    DATE(YEAR(MTH_VolVal_PesoNet[[#This Row],[Period]]), MONTH(MTH_VolVal_PesoNet[[#This Row],[Period]]), 1),
    DATE(YEAR(MAX(MTH_VolVal_PesoNet[Period])), MONTH(MAX(MTH_VolVal_PesoNet[Period])), 1),
    "M"
)</f>
        <v>30</v>
      </c>
      <c r="G69" s="10" t="str">
        <f>TEXT(MTH_VolVal_PesoNet[[#This Row],[Period]], "YYYY") &amp; "-Q" &amp; ROUNDUP(MONTH(MTH_VolVal_PesoNet[[#This Row],[Period]])/3, 0)</f>
        <v>2023-Q2</v>
      </c>
    </row>
    <row r="70" spans="1:7" x14ac:dyDescent="0.25">
      <c r="A70" s="18">
        <v>45138</v>
      </c>
      <c r="B70" s="8">
        <v>7539032</v>
      </c>
      <c r="C70" s="19">
        <v>666892733799.02002</v>
      </c>
      <c r="D70" s="7">
        <f t="shared" si="3"/>
        <v>4.8851151540937263E-3</v>
      </c>
      <c r="E70" s="7">
        <f t="shared" si="3"/>
        <v>3.0085024376679915E-2</v>
      </c>
      <c r="F70" s="8">
        <f>DATEDIF(
    DATE(YEAR(MTH_VolVal_PesoNet[[#This Row],[Period]]), MONTH(MTH_VolVal_PesoNet[[#This Row],[Period]]), 1),
    DATE(YEAR(MAX(MTH_VolVal_PesoNet[Period])), MONTH(MAX(MTH_VolVal_PesoNet[Period])), 1),
    "M"
)</f>
        <v>29</v>
      </c>
      <c r="G70" s="10" t="str">
        <f>TEXT(MTH_VolVal_PesoNet[[#This Row],[Period]], "YYYY") &amp; "-Q" &amp; ROUNDUP(MONTH(MTH_VolVal_PesoNet[[#This Row],[Period]])/3, 0)</f>
        <v>2023-Q3</v>
      </c>
    </row>
    <row r="71" spans="1:7" x14ac:dyDescent="0.25">
      <c r="A71" s="18">
        <v>45169</v>
      </c>
      <c r="B71" s="8">
        <v>7733249</v>
      </c>
      <c r="C71" s="19">
        <v>682555118224.43994</v>
      </c>
      <c r="D71" s="7">
        <f t="shared" si="3"/>
        <v>2.576153012747525E-2</v>
      </c>
      <c r="E71" s="7">
        <f t="shared" si="3"/>
        <v>2.3485612650474701E-2</v>
      </c>
      <c r="F71" s="8">
        <f>DATEDIF(
    DATE(YEAR(MTH_VolVal_PesoNet[[#This Row],[Period]]), MONTH(MTH_VolVal_PesoNet[[#This Row],[Period]]), 1),
    DATE(YEAR(MAX(MTH_VolVal_PesoNet[Period])), MONTH(MAX(MTH_VolVal_PesoNet[Period])), 1),
    "M"
)</f>
        <v>28</v>
      </c>
      <c r="G71" s="10" t="str">
        <f>TEXT(MTH_VolVal_PesoNet[[#This Row],[Period]], "YYYY") &amp; "-Q" &amp; ROUNDUP(MONTH(MTH_VolVal_PesoNet[[#This Row],[Period]])/3, 0)</f>
        <v>2023-Q3</v>
      </c>
    </row>
    <row r="72" spans="1:7" x14ac:dyDescent="0.25">
      <c r="A72" s="18">
        <v>45199</v>
      </c>
      <c r="B72" s="8">
        <v>7666522</v>
      </c>
      <c r="C72" s="19">
        <v>675453798247.39001</v>
      </c>
      <c r="D72" s="7">
        <f t="shared" si="3"/>
        <v>-8.6285854755226432E-3</v>
      </c>
      <c r="E72" s="7">
        <f t="shared" si="3"/>
        <v>-1.0404024213491939E-2</v>
      </c>
      <c r="F72" s="8">
        <f>DATEDIF(
    DATE(YEAR(MTH_VolVal_PesoNet[[#This Row],[Period]]), MONTH(MTH_VolVal_PesoNet[[#This Row],[Period]]), 1),
    DATE(YEAR(MAX(MTH_VolVal_PesoNet[Period])), MONTH(MAX(MTH_VolVal_PesoNet[Period])), 1),
    "M"
)</f>
        <v>27</v>
      </c>
      <c r="G72" s="10" t="str">
        <f>TEXT(MTH_VolVal_PesoNet[[#This Row],[Period]], "YYYY") &amp; "-Q" &amp; ROUNDUP(MONTH(MTH_VolVal_PesoNet[[#This Row],[Period]])/3, 0)</f>
        <v>2023-Q3</v>
      </c>
    </row>
    <row r="73" spans="1:7" x14ac:dyDescent="0.25">
      <c r="A73" s="18">
        <v>45230</v>
      </c>
      <c r="B73" s="8">
        <v>7873251</v>
      </c>
      <c r="C73" s="19">
        <v>697205233842.6698</v>
      </c>
      <c r="D73" s="7">
        <f t="shared" si="3"/>
        <v>2.6965160994777033E-2</v>
      </c>
      <c r="E73" s="7">
        <f t="shared" si="3"/>
        <v>3.2202699358147895E-2</v>
      </c>
      <c r="F73" s="8">
        <f>DATEDIF(
    DATE(YEAR(MTH_VolVal_PesoNet[[#This Row],[Period]]), MONTH(MTH_VolVal_PesoNet[[#This Row],[Period]]), 1),
    DATE(YEAR(MAX(MTH_VolVal_PesoNet[Period])), MONTH(MAX(MTH_VolVal_PesoNet[Period])), 1),
    "M"
)</f>
        <v>26</v>
      </c>
      <c r="G73" s="10" t="str">
        <f>TEXT(MTH_VolVal_PesoNet[[#This Row],[Period]], "YYYY") &amp; "-Q" &amp; ROUNDUP(MONTH(MTH_VolVal_PesoNet[[#This Row],[Period]])/3, 0)</f>
        <v>2023-Q4</v>
      </c>
    </row>
    <row r="74" spans="1:7" x14ac:dyDescent="0.25">
      <c r="A74" s="18">
        <v>45260</v>
      </c>
      <c r="B74" s="8">
        <v>7601055</v>
      </c>
      <c r="C74" s="19">
        <v>697297968201.59998</v>
      </c>
      <c r="D74" s="7">
        <f t="shared" si="3"/>
        <v>-3.4572249760613502E-2</v>
      </c>
      <c r="E74" s="7">
        <f t="shared" si="3"/>
        <v>1.3300869590302311E-4</v>
      </c>
      <c r="F74" s="8">
        <f>DATEDIF(
    DATE(YEAR(MTH_VolVal_PesoNet[[#This Row],[Period]]), MONTH(MTH_VolVal_PesoNet[[#This Row],[Period]]), 1),
    DATE(YEAR(MAX(MTH_VolVal_PesoNet[Period])), MONTH(MAX(MTH_VolVal_PesoNet[Period])), 1),
    "M"
)</f>
        <v>25</v>
      </c>
      <c r="G74" s="10" t="str">
        <f>TEXT(MTH_VolVal_PesoNet[[#This Row],[Period]], "YYYY") &amp; "-Q" &amp; ROUNDUP(MONTH(MTH_VolVal_PesoNet[[#This Row],[Period]])/3, 0)</f>
        <v>2023-Q4</v>
      </c>
    </row>
    <row r="75" spans="1:7" x14ac:dyDescent="0.25">
      <c r="A75" s="18">
        <v>45291</v>
      </c>
      <c r="B75" s="8">
        <v>7779099</v>
      </c>
      <c r="C75" s="19">
        <v>758068926729.95996</v>
      </c>
      <c r="D75" s="7">
        <f t="shared" si="3"/>
        <v>2.3423590541049893E-2</v>
      </c>
      <c r="E75" s="7">
        <f t="shared" si="3"/>
        <v>8.7152065974169204E-2</v>
      </c>
      <c r="F75" s="8">
        <f>DATEDIF(
    DATE(YEAR(MTH_VolVal_PesoNet[[#This Row],[Period]]), MONTH(MTH_VolVal_PesoNet[[#This Row],[Period]]), 1),
    DATE(YEAR(MAX(MTH_VolVal_PesoNet[Period])), MONTH(MAX(MTH_VolVal_PesoNet[Period])), 1),
    "M"
)</f>
        <v>24</v>
      </c>
      <c r="G75" s="10" t="str">
        <f>TEXT(MTH_VolVal_PesoNet[[#This Row],[Period]], "YYYY") &amp; "-Q" &amp; ROUNDUP(MONTH(MTH_VolVal_PesoNet[[#This Row],[Period]])/3, 0)</f>
        <v>2023-Q4</v>
      </c>
    </row>
    <row r="76" spans="1:7" x14ac:dyDescent="0.25">
      <c r="A76" s="18">
        <v>45322</v>
      </c>
      <c r="B76" s="8">
        <v>8002919</v>
      </c>
      <c r="C76" s="19">
        <v>797376637973.12</v>
      </c>
      <c r="D76" s="7">
        <f t="shared" si="3"/>
        <v>2.877196960727714E-2</v>
      </c>
      <c r="E76" s="7">
        <f t="shared" si="3"/>
        <v>5.1852423779879142E-2</v>
      </c>
      <c r="F76" s="8">
        <f>DATEDIF(
    DATE(YEAR(MTH_VolVal_PesoNet[[#This Row],[Period]]), MONTH(MTH_VolVal_PesoNet[[#This Row],[Period]]), 1),
    DATE(YEAR(MAX(MTH_VolVal_PesoNet[Period])), MONTH(MAX(MTH_VolVal_PesoNet[Period])), 1),
    "M"
)</f>
        <v>23</v>
      </c>
      <c r="G76" s="10" t="str">
        <f>TEXT(MTH_VolVal_PesoNet[[#This Row],[Period]], "YYYY") &amp; "-Q" &amp; ROUNDUP(MONTH(MTH_VolVal_PesoNet[[#This Row],[Period]])/3, 0)</f>
        <v>2024-Q1</v>
      </c>
    </row>
    <row r="77" spans="1:7" x14ac:dyDescent="0.25">
      <c r="A77" s="18">
        <v>45351</v>
      </c>
      <c r="B77" s="8">
        <v>7788431</v>
      </c>
      <c r="C77" s="19">
        <v>735129780178.96997</v>
      </c>
      <c r="D77" s="7">
        <f t="shared" si="3"/>
        <v>-2.6801220904522461E-2</v>
      </c>
      <c r="E77" s="7">
        <f t="shared" si="3"/>
        <v>-7.8064561751366987E-2</v>
      </c>
      <c r="F77" s="8">
        <f>DATEDIF(
    DATE(YEAR(MTH_VolVal_PesoNet[[#This Row],[Period]]), MONTH(MTH_VolVal_PesoNet[[#This Row],[Period]]), 1),
    DATE(YEAR(MAX(MTH_VolVal_PesoNet[Period])), MONTH(MAX(MTH_VolVal_PesoNet[Period])), 1),
    "M"
)</f>
        <v>22</v>
      </c>
      <c r="G77" s="10" t="str">
        <f>TEXT(MTH_VolVal_PesoNet[[#This Row],[Period]], "YYYY") &amp; "-Q" &amp; ROUNDUP(MONTH(MTH_VolVal_PesoNet[[#This Row],[Period]])/3, 0)</f>
        <v>2024-Q1</v>
      </c>
    </row>
    <row r="78" spans="1:7" x14ac:dyDescent="0.25">
      <c r="A78" s="18">
        <v>45382</v>
      </c>
      <c r="B78" s="8">
        <v>7771582</v>
      </c>
      <c r="C78" s="19">
        <v>735421631918.04968</v>
      </c>
      <c r="D78" s="7">
        <f t="shared" ref="D78:E93" si="4">(B78-B77)/B77</f>
        <v>-2.1633368774789173E-3</v>
      </c>
      <c r="E78" s="7">
        <f t="shared" si="4"/>
        <v>3.9700709582008711E-4</v>
      </c>
      <c r="F78" s="8">
        <f>DATEDIF(
    DATE(YEAR(MTH_VolVal_PesoNet[[#This Row],[Period]]), MONTH(MTH_VolVal_PesoNet[[#This Row],[Period]]), 1),
    DATE(YEAR(MAX(MTH_VolVal_PesoNet[Period])), MONTH(MAX(MTH_VolVal_PesoNet[Period])), 1),
    "M"
)</f>
        <v>21</v>
      </c>
      <c r="G78" s="10" t="str">
        <f>TEXT(MTH_VolVal_PesoNet[[#This Row],[Period]], "YYYY") &amp; "-Q" &amp; ROUNDUP(MONTH(MTH_VolVal_PesoNet[[#This Row],[Period]])/3, 0)</f>
        <v>2024-Q1</v>
      </c>
    </row>
    <row r="79" spans="1:7" x14ac:dyDescent="0.25">
      <c r="A79" s="18">
        <v>45412</v>
      </c>
      <c r="B79" s="8">
        <v>8333682</v>
      </c>
      <c r="C79" s="19">
        <v>855013785466.88977</v>
      </c>
      <c r="D79" s="7">
        <f t="shared" si="4"/>
        <v>7.2327616179048232E-2</v>
      </c>
      <c r="E79" s="7">
        <f t="shared" si="4"/>
        <v>0.16261712786028928</v>
      </c>
      <c r="F79" s="8">
        <f>DATEDIF(
    DATE(YEAR(MTH_VolVal_PesoNet[[#This Row],[Period]]), MONTH(MTH_VolVal_PesoNet[[#This Row],[Period]]), 1),
    DATE(YEAR(MAX(MTH_VolVal_PesoNet[Period])), MONTH(MAX(MTH_VolVal_PesoNet[Period])), 1),
    "M"
)</f>
        <v>20</v>
      </c>
      <c r="G79" s="10" t="str">
        <f>TEXT(MTH_VolVal_PesoNet[[#This Row],[Period]], "YYYY") &amp; "-Q" &amp; ROUNDUP(MONTH(MTH_VolVal_PesoNet[[#This Row],[Period]])/3, 0)</f>
        <v>2024-Q2</v>
      </c>
    </row>
    <row r="80" spans="1:7" x14ac:dyDescent="0.25">
      <c r="A80" s="18">
        <v>45443</v>
      </c>
      <c r="B80" s="8">
        <v>8348456</v>
      </c>
      <c r="C80" s="19">
        <v>828772890594.06006</v>
      </c>
      <c r="D80" s="7">
        <f t="shared" si="4"/>
        <v>1.7728058258042482E-3</v>
      </c>
      <c r="E80" s="7">
        <f t="shared" si="4"/>
        <v>-3.0690610278874719E-2</v>
      </c>
      <c r="F80" s="8">
        <f>DATEDIF(
    DATE(YEAR(MTH_VolVal_PesoNet[[#This Row],[Period]]), MONTH(MTH_VolVal_PesoNet[[#This Row],[Period]]), 1),
    DATE(YEAR(MAX(MTH_VolVal_PesoNet[Period])), MONTH(MAX(MTH_VolVal_PesoNet[Period])), 1),
    "M"
)</f>
        <v>19</v>
      </c>
      <c r="G80" s="10" t="str">
        <f>TEXT(MTH_VolVal_PesoNet[[#This Row],[Period]], "YYYY") &amp; "-Q" &amp; ROUNDUP(MONTH(MTH_VolVal_PesoNet[[#This Row],[Period]])/3, 0)</f>
        <v>2024-Q2</v>
      </c>
    </row>
    <row r="81" spans="1:7" x14ac:dyDescent="0.25">
      <c r="A81" s="18">
        <v>45473</v>
      </c>
      <c r="B81" s="8">
        <v>7939067</v>
      </c>
      <c r="C81" s="19">
        <v>738016870049.0199</v>
      </c>
      <c r="D81" s="7">
        <f t="shared" si="4"/>
        <v>-4.903769032261774E-2</v>
      </c>
      <c r="E81" s="7">
        <f t="shared" si="4"/>
        <v>-0.10950650241465636</v>
      </c>
      <c r="F81" s="8">
        <f>DATEDIF(
    DATE(YEAR(MTH_VolVal_PesoNet[[#This Row],[Period]]), MONTH(MTH_VolVal_PesoNet[[#This Row],[Period]]), 1),
    DATE(YEAR(MAX(MTH_VolVal_PesoNet[Period])), MONTH(MAX(MTH_VolVal_PesoNet[Period])), 1),
    "M"
)</f>
        <v>18</v>
      </c>
      <c r="G81" s="10" t="str">
        <f>TEXT(MTH_VolVal_PesoNet[[#This Row],[Period]], "YYYY") &amp; "-Q" &amp; ROUNDUP(MONTH(MTH_VolVal_PesoNet[[#This Row],[Period]])/3, 0)</f>
        <v>2024-Q2</v>
      </c>
    </row>
    <row r="82" spans="1:7" x14ac:dyDescent="0.25">
      <c r="A82" s="18">
        <v>45504</v>
      </c>
      <c r="B82" s="8">
        <v>8655095</v>
      </c>
      <c r="C82" s="19">
        <v>867643355604.07996</v>
      </c>
      <c r="D82" s="7">
        <f t="shared" si="4"/>
        <v>9.0190446811949057E-2</v>
      </c>
      <c r="E82" s="7">
        <f t="shared" si="4"/>
        <v>0.17564162936607414</v>
      </c>
      <c r="F82" s="8">
        <f>DATEDIF(
    DATE(YEAR(MTH_VolVal_PesoNet[[#This Row],[Period]]), MONTH(MTH_VolVal_PesoNet[[#This Row],[Period]]), 1),
    DATE(YEAR(MAX(MTH_VolVal_PesoNet[Period])), MONTH(MAX(MTH_VolVal_PesoNet[Period])), 1),
    "M"
)</f>
        <v>17</v>
      </c>
      <c r="G82" s="10" t="str">
        <f>TEXT(MTH_VolVal_PesoNet[[#This Row],[Period]], "YYYY") &amp; "-Q" &amp; ROUNDUP(MONTH(MTH_VolVal_PesoNet[[#This Row],[Period]])/3, 0)</f>
        <v>2024-Q3</v>
      </c>
    </row>
    <row r="83" spans="1:7" x14ac:dyDescent="0.25">
      <c r="A83" s="18">
        <v>45535</v>
      </c>
      <c r="B83" s="8">
        <v>8717012</v>
      </c>
      <c r="C83" s="19">
        <v>817063252136.53015</v>
      </c>
      <c r="D83" s="7">
        <f t="shared" si="4"/>
        <v>7.1538209574822688E-3</v>
      </c>
      <c r="E83" s="7">
        <f t="shared" si="4"/>
        <v>-5.8295961285077073E-2</v>
      </c>
      <c r="F83" s="8">
        <f>DATEDIF(
    DATE(YEAR(MTH_VolVal_PesoNet[[#This Row],[Period]]), MONTH(MTH_VolVal_PesoNet[[#This Row],[Period]]), 1),
    DATE(YEAR(MAX(MTH_VolVal_PesoNet[Period])), MONTH(MAX(MTH_VolVal_PesoNet[Period])), 1),
    "M"
)</f>
        <v>16</v>
      </c>
      <c r="G83" s="10" t="str">
        <f>TEXT(MTH_VolVal_PesoNet[[#This Row],[Period]], "YYYY") &amp; "-Q" &amp; ROUNDUP(MONTH(MTH_VolVal_PesoNet[[#This Row],[Period]])/3, 0)</f>
        <v>2024-Q3</v>
      </c>
    </row>
    <row r="84" spans="1:7" x14ac:dyDescent="0.25">
      <c r="A84" s="18">
        <v>45565</v>
      </c>
      <c r="B84" s="8">
        <v>8416056</v>
      </c>
      <c r="C84" s="19">
        <v>850482450299</v>
      </c>
      <c r="D84" s="7">
        <f t="shared" si="4"/>
        <v>-3.4525133153424592E-2</v>
      </c>
      <c r="E84" s="7">
        <f t="shared" si="4"/>
        <v>4.0901604710629605E-2</v>
      </c>
      <c r="F84" s="8">
        <f>DATEDIF(
    DATE(YEAR(MTH_VolVal_PesoNet[[#This Row],[Period]]), MONTH(MTH_VolVal_PesoNet[[#This Row],[Period]]), 1),
    DATE(YEAR(MAX(MTH_VolVal_PesoNet[Period])), MONTH(MAX(MTH_VolVal_PesoNet[Period])), 1),
    "M"
)</f>
        <v>15</v>
      </c>
      <c r="G84" s="10" t="str">
        <f>TEXT(MTH_VolVal_PesoNet[[#This Row],[Period]], "YYYY") &amp; "-Q" &amp; ROUNDUP(MONTH(MTH_VolVal_PesoNet[[#This Row],[Period]])/3, 0)</f>
        <v>2024-Q3</v>
      </c>
    </row>
    <row r="85" spans="1:7" x14ac:dyDescent="0.25">
      <c r="A85" s="18">
        <v>45596</v>
      </c>
      <c r="B85" s="8">
        <v>8953796</v>
      </c>
      <c r="C85" s="19">
        <v>943571474610.57898</v>
      </c>
      <c r="D85" s="7">
        <f t="shared" si="4"/>
        <v>6.3894536823424178E-2</v>
      </c>
      <c r="E85" s="7">
        <f t="shared" si="4"/>
        <v>0.10945437413652935</v>
      </c>
      <c r="F85" s="8">
        <f>DATEDIF(
    DATE(YEAR(MTH_VolVal_PesoNet[[#This Row],[Period]]), MONTH(MTH_VolVal_PesoNet[[#This Row],[Period]]), 1),
    DATE(YEAR(MAX(MTH_VolVal_PesoNet[Period])), MONTH(MAX(MTH_VolVal_PesoNet[Period])), 1),
    "M"
)</f>
        <v>14</v>
      </c>
      <c r="G85" s="10" t="str">
        <f>TEXT(MTH_VolVal_PesoNet[[#This Row],[Period]], "YYYY") &amp; "-Q" &amp; ROUNDUP(MONTH(MTH_VolVal_PesoNet[[#This Row],[Period]])/3, 0)</f>
        <v>2024-Q4</v>
      </c>
    </row>
    <row r="86" spans="1:7" x14ac:dyDescent="0.25">
      <c r="A86" s="18">
        <v>45626</v>
      </c>
      <c r="B86" s="8">
        <v>8846294</v>
      </c>
      <c r="C86" s="19">
        <v>919007367002.44983</v>
      </c>
      <c r="D86" s="7">
        <f t="shared" si="4"/>
        <v>-1.2006304365210017E-2</v>
      </c>
      <c r="E86" s="7">
        <f t="shared" si="4"/>
        <v>-2.6033118072234001E-2</v>
      </c>
      <c r="F86" s="8">
        <f>DATEDIF(
    DATE(YEAR(MTH_VolVal_PesoNet[[#This Row],[Period]]), MONTH(MTH_VolVal_PesoNet[[#This Row],[Period]]), 1),
    DATE(YEAR(MAX(MTH_VolVal_PesoNet[Period])), MONTH(MAX(MTH_VolVal_PesoNet[Period])), 1),
    "M"
)</f>
        <v>13</v>
      </c>
      <c r="G86" s="10" t="str">
        <f>TEXT(MTH_VolVal_PesoNet[[#This Row],[Period]], "YYYY") &amp; "-Q" &amp; ROUNDUP(MONTH(MTH_VolVal_PesoNet[[#This Row],[Period]])/3, 0)</f>
        <v>2024-Q4</v>
      </c>
    </row>
    <row r="87" spans="1:7" x14ac:dyDescent="0.25">
      <c r="A87" s="18">
        <v>45657</v>
      </c>
      <c r="B87" s="8">
        <v>9080749</v>
      </c>
      <c r="C87" s="19">
        <v>989290198586.26099</v>
      </c>
      <c r="D87" s="7">
        <f t="shared" si="4"/>
        <v>2.650318879295669E-2</v>
      </c>
      <c r="E87" s="7">
        <f t="shared" si="4"/>
        <v>7.6476896820810575E-2</v>
      </c>
      <c r="F87" s="8">
        <f>DATEDIF(
    DATE(YEAR(MTH_VolVal_PesoNet[[#This Row],[Period]]), MONTH(MTH_VolVal_PesoNet[[#This Row],[Period]]), 1),
    DATE(YEAR(MAX(MTH_VolVal_PesoNet[Period])), MONTH(MAX(MTH_VolVal_PesoNet[Period])), 1),
    "M"
)</f>
        <v>12</v>
      </c>
      <c r="G87" s="10" t="str">
        <f>TEXT(MTH_VolVal_PesoNet[[#This Row],[Period]], "YYYY") &amp; "-Q" &amp; ROUNDUP(MONTH(MTH_VolVal_PesoNet[[#This Row],[Period]])/3, 0)</f>
        <v>2024-Q4</v>
      </c>
    </row>
    <row r="88" spans="1:7" x14ac:dyDescent="0.25">
      <c r="A88" s="18">
        <v>45688</v>
      </c>
      <c r="B88" s="8">
        <v>9649419</v>
      </c>
      <c r="C88" s="19">
        <v>1052767410146.42</v>
      </c>
      <c r="D88" s="7">
        <f t="shared" si="4"/>
        <v>6.2623688860907842E-2</v>
      </c>
      <c r="E88" s="7">
        <f t="shared" si="4"/>
        <v>6.4164399537032485E-2</v>
      </c>
      <c r="F88" s="8">
        <f>DATEDIF(
    DATE(YEAR(MTH_VolVal_PesoNet[[#This Row],[Period]]), MONTH(MTH_VolVal_PesoNet[[#This Row],[Period]]), 1),
    DATE(YEAR(MAX(MTH_VolVal_PesoNet[Period])), MONTH(MAX(MTH_VolVal_PesoNet[Period])), 1),
    "M"
)</f>
        <v>11</v>
      </c>
      <c r="G88" s="11" t="str">
        <f>TEXT(MTH_VolVal_PesoNet[[#This Row],[Period]], "YYYY") &amp; "-Q" &amp; ROUNDUP(MONTH(MTH_VolVal_PesoNet[[#This Row],[Period]])/3, 0)</f>
        <v>2025-Q1</v>
      </c>
    </row>
    <row r="89" spans="1:7" x14ac:dyDescent="0.25">
      <c r="A89" s="18">
        <v>45716</v>
      </c>
      <c r="B89" s="20">
        <v>9022485</v>
      </c>
      <c r="C89" s="19">
        <v>933120343928.79004</v>
      </c>
      <c r="D89" s="7">
        <f t="shared" si="4"/>
        <v>-6.4971165621474203E-2</v>
      </c>
      <c r="E89" s="7">
        <f t="shared" si="4"/>
        <v>-0.11365004754562963</v>
      </c>
      <c r="F89" s="8">
        <f>DATEDIF(
    DATE(YEAR(MTH_VolVal_PesoNet[[#This Row],[Period]]), MONTH(MTH_VolVal_PesoNet[[#This Row],[Period]]), 1),
    DATE(YEAR(MAX(MTH_VolVal_PesoNet[Period])), MONTH(MAX(MTH_VolVal_PesoNet[Period])), 1),
    "M"
)</f>
        <v>10</v>
      </c>
      <c r="G89" s="11" t="str">
        <f>TEXT(MTH_VolVal_PesoNet[[#This Row],[Period]], "YYYY") &amp; "-Q" &amp; ROUNDUP(MONTH(MTH_VolVal_PesoNet[[#This Row],[Period]])/3, 0)</f>
        <v>2025-Q1</v>
      </c>
    </row>
    <row r="90" spans="1:7" x14ac:dyDescent="0.25">
      <c r="A90" s="21">
        <v>45747</v>
      </c>
      <c r="B90" s="20">
        <v>9518321</v>
      </c>
      <c r="C90" s="19">
        <v>1017298825200.5</v>
      </c>
      <c r="D90" s="7">
        <f t="shared" si="4"/>
        <v>5.495559150278443E-2</v>
      </c>
      <c r="E90" s="7">
        <f t="shared" si="4"/>
        <v>9.0211816535139155E-2</v>
      </c>
      <c r="F90" s="13">
        <f>DATEDIF(
    DATE(YEAR(MTH_VolVal_PesoNet[[#This Row],[Period]]), MONTH(MTH_VolVal_PesoNet[[#This Row],[Period]]), 1),
    DATE(YEAR(MAX(MTH_VolVal_PesoNet[Period])), MONTH(MAX(MTH_VolVal_PesoNet[Period])), 1),
    "M"
)</f>
        <v>9</v>
      </c>
      <c r="G90" s="11" t="str">
        <f>TEXT(MTH_VolVal_PesoNet[[#This Row],[Period]], "YYYY") &amp; "-Q" &amp; ROUNDUP(MONTH(MTH_VolVal_PesoNet[[#This Row],[Period]])/3, 0)</f>
        <v>2025-Q1</v>
      </c>
    </row>
    <row r="91" spans="1:7" x14ac:dyDescent="0.25">
      <c r="A91" s="21">
        <v>45777</v>
      </c>
      <c r="B91" s="20">
        <v>8957648</v>
      </c>
      <c r="C91" s="19">
        <v>1011649314312.99</v>
      </c>
      <c r="D91" s="7">
        <f t="shared" si="4"/>
        <v>-5.890461143304581E-2</v>
      </c>
      <c r="E91" s="7">
        <f t="shared" si="4"/>
        <v>-5.5534428503803144E-3</v>
      </c>
      <c r="F91" s="13">
        <f>DATEDIF(
    DATE(YEAR(MTH_VolVal_PesoNet[[#This Row],[Period]]), MONTH(MTH_VolVal_PesoNet[[#This Row],[Period]]), 1),
    DATE(YEAR(MAX(MTH_VolVal_PesoNet[Period])), MONTH(MAX(MTH_VolVal_PesoNet[Period])), 1),
    "M"
)</f>
        <v>8</v>
      </c>
      <c r="G91" s="11" t="str">
        <f>TEXT(MTH_VolVal_PesoNet[[#This Row],[Period]], "YYYY") &amp; "-Q" &amp; ROUNDUP(MONTH(MTH_VolVal_PesoNet[[#This Row],[Period]])/3, 0)</f>
        <v>2025-Q2</v>
      </c>
    </row>
    <row r="92" spans="1:7" x14ac:dyDescent="0.25">
      <c r="A92" s="22">
        <v>45808</v>
      </c>
      <c r="B92" s="23">
        <v>9504459</v>
      </c>
      <c r="C92" s="19">
        <v>1050002647067.13</v>
      </c>
      <c r="D92" s="7">
        <f t="shared" si="4"/>
        <v>6.1044037452688472E-2</v>
      </c>
      <c r="E92" s="7">
        <f t="shared" si="4"/>
        <v>3.7911687589276648E-2</v>
      </c>
      <c r="F92" s="13">
        <f>DATEDIF(
    DATE(YEAR(MTH_VolVal_PesoNet[[#This Row],[Period]]), MONTH(MTH_VolVal_PesoNet[[#This Row],[Period]]), 1),
    DATE(YEAR(MAX(MTH_VolVal_PesoNet[Period])), MONTH(MAX(MTH_VolVal_PesoNet[Period])), 1),
    "M"
)</f>
        <v>7</v>
      </c>
      <c r="G92" s="11" t="str">
        <f>TEXT(MTH_VolVal_PesoNet[[#This Row],[Period]], "YYYY") &amp; "-Q" &amp; ROUNDUP(MONTH(MTH_VolVal_PesoNet[[#This Row],[Period]])/3, 0)</f>
        <v>2025-Q2</v>
      </c>
    </row>
    <row r="93" spans="1:7" x14ac:dyDescent="0.25">
      <c r="A93" s="21">
        <v>45838</v>
      </c>
      <c r="B93" s="20">
        <v>9624410</v>
      </c>
      <c r="C93" s="19">
        <v>1084021591389.55</v>
      </c>
      <c r="D93" s="7">
        <f t="shared" si="4"/>
        <v>1.2620497389698877E-2</v>
      </c>
      <c r="E93" s="7">
        <f t="shared" si="4"/>
        <v>3.2398912914592973E-2</v>
      </c>
      <c r="F93" s="13">
        <f>DATEDIF(
    DATE(YEAR(MTH_VolVal_PesoNet[[#This Row],[Period]]), MONTH(MTH_VolVal_PesoNet[[#This Row],[Period]]), 1),
    DATE(YEAR(MAX(MTH_VolVal_PesoNet[Period])), MONTH(MAX(MTH_VolVal_PesoNet[Period])), 1),
    "M"
)</f>
        <v>6</v>
      </c>
      <c r="G93" s="11" t="str">
        <f>TEXT(MTH_VolVal_PesoNet[[#This Row],[Period]], "YYYY") &amp; "-Q" &amp; ROUNDUP(MONTH(MTH_VolVal_PesoNet[[#This Row],[Period]])/3, 0)</f>
        <v>2025-Q2</v>
      </c>
    </row>
    <row r="94" spans="1:7" x14ac:dyDescent="0.25">
      <c r="A94" s="24">
        <v>45869</v>
      </c>
      <c r="B94" s="25">
        <v>9956225</v>
      </c>
      <c r="C94" s="19">
        <v>1151412008672.4399</v>
      </c>
      <c r="D94" s="7">
        <f t="shared" ref="D94:E99" si="5">(B94-B93)/B93</f>
        <v>3.4476399072774333E-2</v>
      </c>
      <c r="E94" s="7">
        <f t="shared" si="5"/>
        <v>6.2167043367194995E-2</v>
      </c>
      <c r="F94" s="13">
        <f>DATEDIF(
    DATE(YEAR(MTH_VolVal_PesoNet[[#This Row],[Period]]), MONTH(MTH_VolVal_PesoNet[[#This Row],[Period]]), 1),
    DATE(YEAR(MAX(MTH_VolVal_PesoNet[Period])), MONTH(MAX(MTH_VolVal_PesoNet[Period])), 1),
    "M"
)</f>
        <v>5</v>
      </c>
      <c r="G94" s="11" t="str">
        <f>TEXT(MTH_VolVal_PesoNet[[#This Row],[Period]], "YYYY") &amp; "-Q" &amp; ROUNDUP(MONTH(MTH_VolVal_PesoNet[[#This Row],[Period]])/3, 0)</f>
        <v>2025-Q3</v>
      </c>
    </row>
    <row r="95" spans="1:7" x14ac:dyDescent="0.25">
      <c r="A95" s="21">
        <v>45900</v>
      </c>
      <c r="B95" s="20">
        <v>9600064</v>
      </c>
      <c r="C95" s="26">
        <v>1059229154365.6899</v>
      </c>
      <c r="D95" s="17">
        <f t="shared" si="5"/>
        <v>-3.5772694972240983E-2</v>
      </c>
      <c r="E95" s="17">
        <f t="shared" si="5"/>
        <v>-8.0060702522145297E-2</v>
      </c>
      <c r="F95" s="13">
        <f>DATEDIF(
    DATE(YEAR(MTH_VolVal_PesoNet[[#This Row],[Period]]), MONTH(MTH_VolVal_PesoNet[[#This Row],[Period]]), 1),
    DATE(YEAR(MAX(MTH_VolVal_PesoNet[Period])), MONTH(MAX(MTH_VolVal_PesoNet[Period])), 1),
    "M"
)</f>
        <v>4</v>
      </c>
      <c r="G95" s="11" t="str">
        <f>TEXT(MTH_VolVal_PesoNet[[#This Row],[Period]], "YYYY") &amp; "-Q" &amp; ROUNDUP(MONTH(MTH_VolVal_PesoNet[[#This Row],[Period]])/3, 0)</f>
        <v>2025-Q3</v>
      </c>
    </row>
    <row r="96" spans="1:7" x14ac:dyDescent="0.25">
      <c r="A96" s="21">
        <v>45930</v>
      </c>
      <c r="B96" s="20">
        <v>10093154</v>
      </c>
      <c r="C96" s="26">
        <v>1153108268114.8296</v>
      </c>
      <c r="D96" s="17">
        <f t="shared" si="5"/>
        <v>5.1363199245338366E-2</v>
      </c>
      <c r="E96" s="17">
        <f t="shared" si="5"/>
        <v>8.8629654274724273E-2</v>
      </c>
      <c r="F96" s="13">
        <f>DATEDIF(
    DATE(YEAR(MTH_VolVal_PesoNet[[#This Row],[Period]]), MONTH(MTH_VolVal_PesoNet[[#This Row],[Period]]), 1),
    DATE(YEAR(MAX(MTH_VolVal_PesoNet[Period])), MONTH(MAX(MTH_VolVal_PesoNet[Period])), 1),
    "M"
)</f>
        <v>3</v>
      </c>
      <c r="G96" s="11" t="str">
        <f>TEXT(MTH_VolVal_PesoNet[[#This Row],[Period]], "YYYY") &amp; "-Q" &amp; ROUNDUP(MONTH(MTH_VolVal_PesoNet[[#This Row],[Period]])/3, 0)</f>
        <v>2025-Q3</v>
      </c>
    </row>
    <row r="97" spans="1:7" x14ac:dyDescent="0.25">
      <c r="A97" s="18">
        <v>45961</v>
      </c>
      <c r="B97" s="8">
        <v>10361928</v>
      </c>
      <c r="C97" s="19">
        <v>1167285232147.4299</v>
      </c>
      <c r="D97" s="17">
        <f>(B97-B96)/B96</f>
        <v>2.6629337073426206E-2</v>
      </c>
      <c r="E97" s="17">
        <f t="shared" si="5"/>
        <v>1.2294564547505752E-2</v>
      </c>
      <c r="F97" s="15">
        <f>DATEDIF(
    DATE(YEAR(MTH_VolVal_PesoNet[[#This Row],[Period]]), MONTH(MTH_VolVal_PesoNet[[#This Row],[Period]]), 1),
    DATE(YEAR(MAX(MTH_VolVal_PesoNet[Period])), MONTH(MAX(MTH_VolVal_PesoNet[Period])), 1),
    "M"
)</f>
        <v>2</v>
      </c>
      <c r="G97" s="10" t="str">
        <f>TEXT(MTH_VolVal_PesoNet[[#This Row],[Period]], "YYYY") &amp; "-Q" &amp; ROUNDUP(MONTH(MTH_VolVal_PesoNet[[#This Row],[Period]])/3, 0)</f>
        <v>2025-Q4</v>
      </c>
    </row>
    <row r="98" spans="1:7" x14ac:dyDescent="0.25">
      <c r="A98" s="18">
        <v>45991</v>
      </c>
      <c r="B98" s="20">
        <v>10338155</v>
      </c>
      <c r="C98" s="26">
        <v>1165389747511.8096</v>
      </c>
      <c r="D98" s="17">
        <f>(B98-B97)/B97</f>
        <v>-2.294264156245826E-3</v>
      </c>
      <c r="E98" s="17">
        <f t="shared" si="5"/>
        <v>-1.6238401578449497E-3</v>
      </c>
      <c r="F98" s="13">
        <f>DATEDIF(
    DATE(YEAR(MTH_VolVal_PesoNet[[#This Row],[Period]]), MONTH(MTH_VolVal_PesoNet[[#This Row],[Period]]), 1),
    DATE(YEAR(MAX(MTH_VolVal_PesoNet[Period])), MONTH(MAX(MTH_VolVal_PesoNet[Period])), 1),
    "M"
)</f>
        <v>1</v>
      </c>
      <c r="G98" s="11" t="str">
        <f>TEXT(MTH_VolVal_PesoNet[[#This Row],[Period]], "YYYY") &amp; "-Q" &amp; ROUNDUP(MONTH(MTH_VolVal_PesoNet[[#This Row],[Period]])/3, 0)</f>
        <v>2025-Q4</v>
      </c>
    </row>
    <row r="99" spans="1:7" x14ac:dyDescent="0.25">
      <c r="A99" s="21">
        <v>46022</v>
      </c>
      <c r="B99" s="20">
        <v>10619575</v>
      </c>
      <c r="C99" s="26">
        <v>1345898709895.6313</v>
      </c>
      <c r="D99" s="17">
        <f>(B99-B98)/B98</f>
        <v>2.7221491649138556E-2</v>
      </c>
      <c r="E99" s="17">
        <f t="shared" si="5"/>
        <v>0.15489149683118572</v>
      </c>
      <c r="F99" s="13">
        <f>DATEDIF(
    DATE(YEAR(MTH_VolVal_PesoNet[[#This Row],[Period]]), MONTH(MTH_VolVal_PesoNet[[#This Row],[Period]]), 1),
    DATE(YEAR(MAX(MTH_VolVal_PesoNet[Period])), MONTH(MAX(MTH_VolVal_PesoNet[Period])), 1),
    "M"
)</f>
        <v>0</v>
      </c>
      <c r="G99" s="11" t="str">
        <f>TEXT(MTH_VolVal_PesoNet[[#This Row],[Period]], "YYYY") &amp; "-Q" &amp; ROUNDUP(MONTH(MTH_VolVal_PesoNet[[#This Row],[Period]])/3, 0)</f>
        <v>2025-Q4</v>
      </c>
    </row>
  </sheetData>
  <pageMargins left="0.7" right="0.7" top="0.75" bottom="0.75" header="0.3" footer="0.3"/>
  <headerFooter>
    <oddFooter>&amp;L_x000D_&amp;1#&amp;"Calibri"&amp;11&amp;K000000 Classification: GENERAL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B41457B-A141-4316-9155-5722B67633E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D2:E99</xm:sqref>
        </x14:conditionalFormatting>
        <x14:conditionalFormatting xmlns:xm="http://schemas.microsoft.com/office/excel/2006/main">
          <x14:cfRule type="iconSet" priority="3" id="{45D5DB57-E0D9-4893-8088-4773A17DC98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D95:E95</xm:sqref>
        </x14:conditionalFormatting>
        <x14:conditionalFormatting xmlns:xm="http://schemas.microsoft.com/office/excel/2006/main">
          <x14:cfRule type="iconSet" priority="2" id="{16DD8183-5967-4F34-93E5-A6BD790AE33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D96:E98</xm:sqref>
        </x14:conditionalFormatting>
        <x14:conditionalFormatting xmlns:xm="http://schemas.microsoft.com/office/excel/2006/main">
          <x14:cfRule type="iconSet" priority="1" id="{32BD2334-DDAB-48EE-B557-D7227C0C0B3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D99:E99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9CED-571E-4217-8A66-6636CB734F20}">
  <dimension ref="A1:G94"/>
  <sheetViews>
    <sheetView topLeftCell="A64" workbookViewId="0">
      <selection activeCell="L15" sqref="L15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20.42578125" bestFit="1" customWidth="1"/>
    <col min="4" max="5" width="18.7109375" bestFit="1" customWidth="1"/>
    <col min="6" max="6" width="15.140625" customWidth="1"/>
    <col min="7" max="7" width="13.5703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5">
        <v>43220</v>
      </c>
      <c r="B2" s="6">
        <v>1740</v>
      </c>
      <c r="C2" s="6">
        <v>19119357.649999995</v>
      </c>
      <c r="D2" s="7"/>
      <c r="E2" s="7"/>
      <c r="F2" s="8">
        <f>DATEDIF(
    DATE(YEAR(MTH_VolVal_InstaPay[[#This Row],[Period]]), MONTH(MTH_VolVal_InstaPay[[#This Row],[Period]]), 1),
    DATE(YEAR(MAX(MTH_VolVal_InstaPay[Period])), MONTH(MAX(MTH_VolVal_InstaPay[Period])), 1),
    "M"
)</f>
        <v>92</v>
      </c>
      <c r="G2" s="9" t="str">
        <f>TEXT(MTH_VolVal_InstaPay[[#This Row],[Period]], "YYYY") &amp; "-Q" &amp; ROUNDUP(MONTH(MTH_VolVal_InstaPay[[#This Row],[Period]])/3, 0)</f>
        <v>2018-Q2</v>
      </c>
    </row>
    <row r="3" spans="1:7" x14ac:dyDescent="0.25">
      <c r="A3" s="5">
        <v>43251</v>
      </c>
      <c r="B3" s="6">
        <v>12548</v>
      </c>
      <c r="C3" s="6">
        <v>190909863.98000005</v>
      </c>
      <c r="D3" s="7">
        <f>(B3-B2)/B2</f>
        <v>6.211494252873563</v>
      </c>
      <c r="E3" s="7">
        <f t="shared" ref="D3:E24" si="0">(C3-C2)/C2</f>
        <v>8.9851609805520898</v>
      </c>
      <c r="F3" s="8">
        <f>DATEDIF(
    DATE(YEAR(MTH_VolVal_InstaPay[[#This Row],[Period]]), MONTH(MTH_VolVal_InstaPay[[#This Row],[Period]]), 1),
    DATE(YEAR(MAX(MTH_VolVal_InstaPay[Period])), MONTH(MAX(MTH_VolVal_InstaPay[Period])), 1),
    "M"
)</f>
        <v>91</v>
      </c>
      <c r="G3" s="10" t="str">
        <f>TEXT(MTH_VolVal_InstaPay[[#This Row],[Period]], "YYYY") &amp; "-Q" &amp; ROUNDUP(MONTH(MTH_VolVal_InstaPay[[#This Row],[Period]])/3, 0)</f>
        <v>2018-Q2</v>
      </c>
    </row>
    <row r="4" spans="1:7" x14ac:dyDescent="0.25">
      <c r="A4" s="5">
        <v>43281</v>
      </c>
      <c r="B4" s="6">
        <v>35827</v>
      </c>
      <c r="C4" s="6">
        <v>436073579.60999995</v>
      </c>
      <c r="D4" s="7">
        <f t="shared" si="0"/>
        <v>1.8551960471788334</v>
      </c>
      <c r="E4" s="7">
        <f t="shared" si="0"/>
        <v>1.2841856911892386</v>
      </c>
      <c r="F4" s="8">
        <f>DATEDIF(
    DATE(YEAR(MTH_VolVal_InstaPay[[#This Row],[Period]]), MONTH(MTH_VolVal_InstaPay[[#This Row],[Period]]), 1),
    DATE(YEAR(MAX(MTH_VolVal_InstaPay[Period])), MONTH(MAX(MTH_VolVal_InstaPay[Period])), 1),
    "M"
)</f>
        <v>90</v>
      </c>
      <c r="G4" s="10" t="str">
        <f>TEXT(MTH_VolVal_InstaPay[[#This Row],[Period]], "YYYY") &amp; "-Q" &amp; ROUNDUP(MONTH(MTH_VolVal_InstaPay[[#This Row],[Period]])/3, 0)</f>
        <v>2018-Q2</v>
      </c>
    </row>
    <row r="5" spans="1:7" x14ac:dyDescent="0.25">
      <c r="A5" s="5">
        <v>43312</v>
      </c>
      <c r="B5" s="6">
        <v>77360</v>
      </c>
      <c r="C5" s="6">
        <v>813040844.96999979</v>
      </c>
      <c r="D5" s="7">
        <f t="shared" si="0"/>
        <v>1.159265358528484</v>
      </c>
      <c r="E5" s="7">
        <f t="shared" si="0"/>
        <v>0.86445793321654218</v>
      </c>
      <c r="F5" s="8">
        <f>DATEDIF(
    DATE(YEAR(MTH_VolVal_InstaPay[[#This Row],[Period]]), MONTH(MTH_VolVal_InstaPay[[#This Row],[Period]]), 1),
    DATE(YEAR(MAX(MTH_VolVal_InstaPay[Period])), MONTH(MAX(MTH_VolVal_InstaPay[Period])), 1),
    "M"
)</f>
        <v>89</v>
      </c>
      <c r="G5" s="10" t="str">
        <f>TEXT(MTH_VolVal_InstaPay[[#This Row],[Period]], "YYYY") &amp; "-Q" &amp; ROUNDUP(MONTH(MTH_VolVal_InstaPay[[#This Row],[Period]])/3, 0)</f>
        <v>2018-Q3</v>
      </c>
    </row>
    <row r="6" spans="1:7" x14ac:dyDescent="0.25">
      <c r="A6" s="5">
        <v>43343</v>
      </c>
      <c r="B6" s="6">
        <v>120007</v>
      </c>
      <c r="C6" s="6">
        <v>1221861342.04</v>
      </c>
      <c r="D6" s="7">
        <f t="shared" si="0"/>
        <v>0.55127973112719753</v>
      </c>
      <c r="E6" s="7">
        <f t="shared" si="0"/>
        <v>0.50282897790342274</v>
      </c>
      <c r="F6" s="8">
        <f>DATEDIF(
    DATE(YEAR(MTH_VolVal_InstaPay[[#This Row],[Period]]), MONTH(MTH_VolVal_InstaPay[[#This Row],[Period]]), 1),
    DATE(YEAR(MAX(MTH_VolVal_InstaPay[Period])), MONTH(MAX(MTH_VolVal_InstaPay[Period])), 1),
    "M"
)</f>
        <v>88</v>
      </c>
      <c r="G6" s="10" t="str">
        <f>TEXT(MTH_VolVal_InstaPay[[#This Row],[Period]], "YYYY") &amp; "-Q" &amp; ROUNDUP(MONTH(MTH_VolVal_InstaPay[[#This Row],[Period]])/3, 0)</f>
        <v>2018-Q3</v>
      </c>
    </row>
    <row r="7" spans="1:7" x14ac:dyDescent="0.25">
      <c r="A7" s="5">
        <v>43373</v>
      </c>
      <c r="B7" s="6">
        <v>246742</v>
      </c>
      <c r="C7" s="6">
        <v>2807750427.75</v>
      </c>
      <c r="D7" s="7">
        <f t="shared" si="0"/>
        <v>1.0560633963018824</v>
      </c>
      <c r="E7" s="7">
        <f t="shared" si="0"/>
        <v>1.2979288493260825</v>
      </c>
      <c r="F7" s="8">
        <f>DATEDIF(
    DATE(YEAR(MTH_VolVal_InstaPay[[#This Row],[Period]]), MONTH(MTH_VolVal_InstaPay[[#This Row],[Period]]), 1),
    DATE(YEAR(MAX(MTH_VolVal_InstaPay[Period])), MONTH(MAX(MTH_VolVal_InstaPay[Period])), 1),
    "M"
)</f>
        <v>87</v>
      </c>
      <c r="G7" s="10" t="str">
        <f>TEXT(MTH_VolVal_InstaPay[[#This Row],[Period]], "YYYY") &amp; "-Q" &amp; ROUNDUP(MONTH(MTH_VolVal_InstaPay[[#This Row],[Period]])/3, 0)</f>
        <v>2018-Q3</v>
      </c>
    </row>
    <row r="8" spans="1:7" x14ac:dyDescent="0.25">
      <c r="A8" s="5">
        <v>43404</v>
      </c>
      <c r="B8" s="6">
        <v>497389</v>
      </c>
      <c r="C8" s="6">
        <v>4824317595.2799997</v>
      </c>
      <c r="D8" s="7">
        <f t="shared" si="0"/>
        <v>1.0158262476594986</v>
      </c>
      <c r="E8" s="7">
        <f t="shared" si="0"/>
        <v>0.7182145348815715</v>
      </c>
      <c r="F8" s="8">
        <f>DATEDIF(
    DATE(YEAR(MTH_VolVal_InstaPay[[#This Row],[Period]]), MONTH(MTH_VolVal_InstaPay[[#This Row],[Period]]), 1),
    DATE(YEAR(MAX(MTH_VolVal_InstaPay[Period])), MONTH(MAX(MTH_VolVal_InstaPay[Period])), 1),
    "M"
)</f>
        <v>86</v>
      </c>
      <c r="G8" s="10" t="str">
        <f>TEXT(MTH_VolVal_InstaPay[[#This Row],[Period]], "YYYY") &amp; "-Q" &amp; ROUNDUP(MONTH(MTH_VolVal_InstaPay[[#This Row],[Period]])/3, 0)</f>
        <v>2018-Q4</v>
      </c>
    </row>
    <row r="9" spans="1:7" x14ac:dyDescent="0.25">
      <c r="A9" s="5">
        <v>43434</v>
      </c>
      <c r="B9" s="6">
        <v>621545</v>
      </c>
      <c r="C9" s="6">
        <v>5789707597.0200005</v>
      </c>
      <c r="D9" s="7">
        <f t="shared" si="0"/>
        <v>0.24961549209974487</v>
      </c>
      <c r="E9" s="7">
        <f t="shared" si="0"/>
        <v>0.20010913101668842</v>
      </c>
      <c r="F9" s="8">
        <f>DATEDIF(
    DATE(YEAR(MTH_VolVal_InstaPay[[#This Row],[Period]]), MONTH(MTH_VolVal_InstaPay[[#This Row],[Period]]), 1),
    DATE(YEAR(MAX(MTH_VolVal_InstaPay[Period])), MONTH(MAX(MTH_VolVal_InstaPay[Period])), 1),
    "M"
)</f>
        <v>85</v>
      </c>
      <c r="G9" s="10" t="str">
        <f>TEXT(MTH_VolVal_InstaPay[[#This Row],[Period]], "YYYY") &amp; "-Q" &amp; ROUNDUP(MONTH(MTH_VolVal_InstaPay[[#This Row],[Period]])/3, 0)</f>
        <v>2018-Q4</v>
      </c>
    </row>
    <row r="10" spans="1:7" x14ac:dyDescent="0.25">
      <c r="A10" s="5">
        <v>43465</v>
      </c>
      <c r="B10" s="6">
        <v>868564</v>
      </c>
      <c r="C10" s="6">
        <v>8049225571.7600002</v>
      </c>
      <c r="D10" s="7">
        <f t="shared" si="0"/>
        <v>0.39742737854861676</v>
      </c>
      <c r="E10" s="7">
        <f t="shared" si="0"/>
        <v>0.39026460954660097</v>
      </c>
      <c r="F10" s="8">
        <f>DATEDIF(
    DATE(YEAR(MTH_VolVal_InstaPay[[#This Row],[Period]]), MONTH(MTH_VolVal_InstaPay[[#This Row],[Period]]), 1),
    DATE(YEAR(MAX(MTH_VolVal_InstaPay[Period])), MONTH(MAX(MTH_VolVal_InstaPay[Period])), 1),
    "M"
)</f>
        <v>84</v>
      </c>
      <c r="G10" s="10" t="str">
        <f>TEXT(MTH_VolVal_InstaPay[[#This Row],[Period]], "YYYY") &amp; "-Q" &amp; ROUNDUP(MONTH(MTH_VolVal_InstaPay[[#This Row],[Period]])/3, 0)</f>
        <v>2018-Q4</v>
      </c>
    </row>
    <row r="11" spans="1:7" x14ac:dyDescent="0.25">
      <c r="A11" s="5">
        <v>43496</v>
      </c>
      <c r="B11" s="6">
        <v>1009318</v>
      </c>
      <c r="C11" s="6">
        <v>8649155972.5900021</v>
      </c>
      <c r="D11" s="7">
        <f t="shared" si="0"/>
        <v>0.1620536886170737</v>
      </c>
      <c r="E11" s="7">
        <f t="shared" si="0"/>
        <v>7.4532685844313384E-2</v>
      </c>
      <c r="F11" s="8">
        <f>DATEDIF(
    DATE(YEAR(MTH_VolVal_InstaPay[[#This Row],[Period]]), MONTH(MTH_VolVal_InstaPay[[#This Row],[Period]]), 1),
    DATE(YEAR(MAX(MTH_VolVal_InstaPay[Period])), MONTH(MAX(MTH_VolVal_InstaPay[Period])), 1),
    "M"
)</f>
        <v>83</v>
      </c>
      <c r="G11" s="10" t="str">
        <f>TEXT(MTH_VolVal_InstaPay[[#This Row],[Period]], "YYYY") &amp; "-Q" &amp; ROUNDUP(MONTH(MTH_VolVal_InstaPay[[#This Row],[Period]])/3, 0)</f>
        <v>2019-Q1</v>
      </c>
    </row>
    <row r="12" spans="1:7" x14ac:dyDescent="0.25">
      <c r="A12" s="5">
        <v>43524</v>
      </c>
      <c r="B12" s="6">
        <v>1131440</v>
      </c>
      <c r="C12" s="6">
        <v>9059050504.9799976</v>
      </c>
      <c r="D12" s="7">
        <f t="shared" si="0"/>
        <v>0.12099457257276695</v>
      </c>
      <c r="E12" s="7">
        <f t="shared" si="0"/>
        <v>4.7391275367098286E-2</v>
      </c>
      <c r="F12" s="8">
        <f>DATEDIF(
    DATE(YEAR(MTH_VolVal_InstaPay[[#This Row],[Period]]), MONTH(MTH_VolVal_InstaPay[[#This Row],[Period]]), 1),
    DATE(YEAR(MAX(MTH_VolVal_InstaPay[Period])), MONTH(MAX(MTH_VolVal_InstaPay[Period])), 1),
    "M"
)</f>
        <v>82</v>
      </c>
      <c r="G12" s="10" t="str">
        <f>TEXT(MTH_VolVal_InstaPay[[#This Row],[Period]], "YYYY") &amp; "-Q" &amp; ROUNDUP(MONTH(MTH_VolVal_InstaPay[[#This Row],[Period]])/3, 0)</f>
        <v>2019-Q1</v>
      </c>
    </row>
    <row r="13" spans="1:7" x14ac:dyDescent="0.25">
      <c r="A13" s="5">
        <v>43555</v>
      </c>
      <c r="B13" s="6">
        <v>1567010</v>
      </c>
      <c r="C13" s="6">
        <v>12769203028.639999</v>
      </c>
      <c r="D13" s="7">
        <f t="shared" si="0"/>
        <v>0.38496959626670435</v>
      </c>
      <c r="E13" s="7">
        <f t="shared" si="0"/>
        <v>0.40955202994181716</v>
      </c>
      <c r="F13" s="8">
        <f>DATEDIF(
    DATE(YEAR(MTH_VolVal_InstaPay[[#This Row],[Period]]), MONTH(MTH_VolVal_InstaPay[[#This Row],[Period]]), 1),
    DATE(YEAR(MAX(MTH_VolVal_InstaPay[Period])), MONTH(MAX(MTH_VolVal_InstaPay[Period])), 1),
    "M"
)</f>
        <v>81</v>
      </c>
      <c r="G13" s="10" t="str">
        <f>TEXT(MTH_VolVal_InstaPay[[#This Row],[Period]], "YYYY") &amp; "-Q" &amp; ROUNDUP(MONTH(MTH_VolVal_InstaPay[[#This Row],[Period]])/3, 0)</f>
        <v>2019-Q1</v>
      </c>
    </row>
    <row r="14" spans="1:7" x14ac:dyDescent="0.25">
      <c r="A14" s="5">
        <v>43585</v>
      </c>
      <c r="B14" s="6">
        <v>1639548</v>
      </c>
      <c r="C14" s="6">
        <v>13459701557.490004</v>
      </c>
      <c r="D14" s="7">
        <f t="shared" si="0"/>
        <v>4.6290706504744705E-2</v>
      </c>
      <c r="E14" s="7">
        <f t="shared" si="0"/>
        <v>5.4075303470489701E-2</v>
      </c>
      <c r="F14" s="8">
        <f>DATEDIF(
    DATE(YEAR(MTH_VolVal_InstaPay[[#This Row],[Period]]), MONTH(MTH_VolVal_InstaPay[[#This Row],[Period]]), 1),
    DATE(YEAR(MAX(MTH_VolVal_InstaPay[Period])), MONTH(MAX(MTH_VolVal_InstaPay[Period])), 1),
    "M"
)</f>
        <v>80</v>
      </c>
      <c r="G14" s="10" t="str">
        <f>TEXT(MTH_VolVal_InstaPay[[#This Row],[Period]], "YYYY") &amp; "-Q" &amp; ROUNDUP(MONTH(MTH_VolVal_InstaPay[[#This Row],[Period]])/3, 0)</f>
        <v>2019-Q2</v>
      </c>
    </row>
    <row r="15" spans="1:7" x14ac:dyDescent="0.25">
      <c r="A15" s="5">
        <v>43616</v>
      </c>
      <c r="B15" s="6">
        <v>2108901</v>
      </c>
      <c r="C15" s="6">
        <v>18328222136.290001</v>
      </c>
      <c r="D15" s="7">
        <f t="shared" si="0"/>
        <v>0.28626975239517233</v>
      </c>
      <c r="E15" s="7">
        <f t="shared" si="0"/>
        <v>0.36171088623363878</v>
      </c>
      <c r="F15" s="8">
        <f>DATEDIF(
    DATE(YEAR(MTH_VolVal_InstaPay[[#This Row],[Period]]), MONTH(MTH_VolVal_InstaPay[[#This Row],[Period]]), 1),
    DATE(YEAR(MAX(MTH_VolVal_InstaPay[Period])), MONTH(MAX(MTH_VolVal_InstaPay[Period])), 1),
    "M"
)</f>
        <v>79</v>
      </c>
      <c r="G15" s="10" t="str">
        <f>TEXT(MTH_VolVal_InstaPay[[#This Row],[Period]], "YYYY") &amp; "-Q" &amp; ROUNDUP(MONTH(MTH_VolVal_InstaPay[[#This Row],[Period]])/3, 0)</f>
        <v>2019-Q2</v>
      </c>
    </row>
    <row r="16" spans="1:7" x14ac:dyDescent="0.25">
      <c r="A16" s="5">
        <v>43646</v>
      </c>
      <c r="B16" s="6">
        <v>2472178</v>
      </c>
      <c r="C16" s="6">
        <v>20877838608.549995</v>
      </c>
      <c r="D16" s="7">
        <f t="shared" si="0"/>
        <v>0.17225891589979805</v>
      </c>
      <c r="E16" s="7">
        <f t="shared" si="0"/>
        <v>0.13910877188746731</v>
      </c>
      <c r="F16" s="8">
        <f>DATEDIF(
    DATE(YEAR(MTH_VolVal_InstaPay[[#This Row],[Period]]), MONTH(MTH_VolVal_InstaPay[[#This Row],[Period]]), 1),
    DATE(YEAR(MAX(MTH_VolVal_InstaPay[Period])), MONTH(MAX(MTH_VolVal_InstaPay[Period])), 1),
    "M"
)</f>
        <v>78</v>
      </c>
      <c r="G16" s="10" t="str">
        <f>TEXT(MTH_VolVal_InstaPay[[#This Row],[Period]], "YYYY") &amp; "-Q" &amp; ROUNDUP(MONTH(MTH_VolVal_InstaPay[[#This Row],[Period]])/3, 0)</f>
        <v>2019-Q2</v>
      </c>
    </row>
    <row r="17" spans="1:7" x14ac:dyDescent="0.25">
      <c r="A17" s="5">
        <v>43677</v>
      </c>
      <c r="B17" s="6">
        <v>2877837</v>
      </c>
      <c r="C17" s="6">
        <v>22212767337.01001</v>
      </c>
      <c r="D17" s="7">
        <f t="shared" si="0"/>
        <v>0.16408972169479705</v>
      </c>
      <c r="E17" s="7">
        <f t="shared" si="0"/>
        <v>6.3939986963656659E-2</v>
      </c>
      <c r="F17" s="8">
        <f>DATEDIF(
    DATE(YEAR(MTH_VolVal_InstaPay[[#This Row],[Period]]), MONTH(MTH_VolVal_InstaPay[[#This Row],[Period]]), 1),
    DATE(YEAR(MAX(MTH_VolVal_InstaPay[Period])), MONTH(MAX(MTH_VolVal_InstaPay[Period])), 1),
    "M"
)</f>
        <v>77</v>
      </c>
      <c r="G17" s="10" t="str">
        <f>TEXT(MTH_VolVal_InstaPay[[#This Row],[Period]], "YYYY") &amp; "-Q" &amp; ROUNDUP(MONTH(MTH_VolVal_InstaPay[[#This Row],[Period]])/3, 0)</f>
        <v>2019-Q3</v>
      </c>
    </row>
    <row r="18" spans="1:7" x14ac:dyDescent="0.25">
      <c r="A18" s="5">
        <v>43708</v>
      </c>
      <c r="B18" s="6">
        <v>3203517</v>
      </c>
      <c r="C18" s="6">
        <v>23562872883.859997</v>
      </c>
      <c r="D18" s="7">
        <f t="shared" si="0"/>
        <v>0.11316832746260473</v>
      </c>
      <c r="E18" s="7">
        <f t="shared" si="0"/>
        <v>6.0780609924297728E-2</v>
      </c>
      <c r="F18" s="8">
        <f>DATEDIF(
    DATE(YEAR(MTH_VolVal_InstaPay[[#This Row],[Period]]), MONTH(MTH_VolVal_InstaPay[[#This Row],[Period]]), 1),
    DATE(YEAR(MAX(MTH_VolVal_InstaPay[Period])), MONTH(MAX(MTH_VolVal_InstaPay[Period])), 1),
    "M"
)</f>
        <v>76</v>
      </c>
      <c r="G18" s="10" t="str">
        <f>TEXT(MTH_VolVal_InstaPay[[#This Row],[Period]], "YYYY") &amp; "-Q" &amp; ROUNDUP(MONTH(MTH_VolVal_InstaPay[[#This Row],[Period]])/3, 0)</f>
        <v>2019-Q3</v>
      </c>
    </row>
    <row r="19" spans="1:7" x14ac:dyDescent="0.25">
      <c r="A19" s="5">
        <v>43738</v>
      </c>
      <c r="B19" s="6">
        <v>3533842</v>
      </c>
      <c r="C19" s="6">
        <v>25320395792.640011</v>
      </c>
      <c r="D19" s="7">
        <f t="shared" si="0"/>
        <v>0.1031132346105858</v>
      </c>
      <c r="E19" s="7">
        <f t="shared" si="0"/>
        <v>7.4588651283854057E-2</v>
      </c>
      <c r="F19" s="8">
        <f>DATEDIF(
    DATE(YEAR(MTH_VolVal_InstaPay[[#This Row],[Period]]), MONTH(MTH_VolVal_InstaPay[[#This Row],[Period]]), 1),
    DATE(YEAR(MAX(MTH_VolVal_InstaPay[Period])), MONTH(MAX(MTH_VolVal_InstaPay[Period])), 1),
    "M"
)</f>
        <v>75</v>
      </c>
      <c r="G19" s="10" t="str">
        <f>TEXT(MTH_VolVal_InstaPay[[#This Row],[Period]], "YYYY") &amp; "-Q" &amp; ROUNDUP(MONTH(MTH_VolVal_InstaPay[[#This Row],[Period]])/3, 0)</f>
        <v>2019-Q3</v>
      </c>
    </row>
    <row r="20" spans="1:7" x14ac:dyDescent="0.25">
      <c r="A20" s="5">
        <v>43769</v>
      </c>
      <c r="B20" s="6">
        <v>4271495</v>
      </c>
      <c r="C20" s="6">
        <v>30328558442.649994</v>
      </c>
      <c r="D20" s="7">
        <f t="shared" si="0"/>
        <v>0.20873966634614677</v>
      </c>
      <c r="E20" s="7">
        <f t="shared" si="0"/>
        <v>0.19779164160876692</v>
      </c>
      <c r="F20" s="8">
        <f>DATEDIF(
    DATE(YEAR(MTH_VolVal_InstaPay[[#This Row],[Period]]), MONTH(MTH_VolVal_InstaPay[[#This Row],[Period]]), 1),
    DATE(YEAR(MAX(MTH_VolVal_InstaPay[Period])), MONTH(MAX(MTH_VolVal_InstaPay[Period])), 1),
    "M"
)</f>
        <v>74</v>
      </c>
      <c r="G20" s="10" t="str">
        <f>TEXT(MTH_VolVal_InstaPay[[#This Row],[Period]], "YYYY") &amp; "-Q" &amp; ROUNDUP(MONTH(MTH_VolVal_InstaPay[[#This Row],[Period]])/3, 0)</f>
        <v>2019-Q4</v>
      </c>
    </row>
    <row r="21" spans="1:7" x14ac:dyDescent="0.25">
      <c r="A21" s="5">
        <v>43799</v>
      </c>
      <c r="B21" s="6">
        <v>4818554</v>
      </c>
      <c r="C21" s="6">
        <v>33967999835.529995</v>
      </c>
      <c r="D21" s="7">
        <f t="shared" si="0"/>
        <v>0.12807202162240622</v>
      </c>
      <c r="E21" s="7">
        <f t="shared" si="0"/>
        <v>0.12000047413272309</v>
      </c>
      <c r="F21" s="8">
        <f>DATEDIF(
    DATE(YEAR(MTH_VolVal_InstaPay[[#This Row],[Period]]), MONTH(MTH_VolVal_InstaPay[[#This Row],[Period]]), 1),
    DATE(YEAR(MAX(MTH_VolVal_InstaPay[Period])), MONTH(MAX(MTH_VolVal_InstaPay[Period])), 1),
    "M"
)</f>
        <v>73</v>
      </c>
      <c r="G21" s="10" t="str">
        <f>TEXT(MTH_VolVal_InstaPay[[#This Row],[Period]], "YYYY") &amp; "-Q" &amp; ROUNDUP(MONTH(MTH_VolVal_InstaPay[[#This Row],[Period]])/3, 0)</f>
        <v>2019-Q4</v>
      </c>
    </row>
    <row r="22" spans="1:7" x14ac:dyDescent="0.25">
      <c r="A22" s="5">
        <v>43830</v>
      </c>
      <c r="B22" s="6">
        <v>5473518</v>
      </c>
      <c r="C22" s="6">
        <v>40097407826.529999</v>
      </c>
      <c r="D22" s="7">
        <f t="shared" si="0"/>
        <v>0.13592542493038368</v>
      </c>
      <c r="E22" s="7">
        <f t="shared" si="0"/>
        <v>0.18044653852679129</v>
      </c>
      <c r="F22" s="8">
        <f>DATEDIF(
    DATE(YEAR(MTH_VolVal_InstaPay[[#This Row],[Period]]), MONTH(MTH_VolVal_InstaPay[[#This Row],[Period]]), 1),
    DATE(YEAR(MAX(MTH_VolVal_InstaPay[Period])), MONTH(MAX(MTH_VolVal_InstaPay[Period])), 1),
    "M"
)</f>
        <v>72</v>
      </c>
      <c r="G22" s="10" t="str">
        <f>TEXT(MTH_VolVal_InstaPay[[#This Row],[Period]], "YYYY") &amp; "-Q" &amp; ROUNDUP(MONTH(MTH_VolVal_InstaPay[[#This Row],[Period]])/3, 0)</f>
        <v>2019-Q4</v>
      </c>
    </row>
    <row r="23" spans="1:7" x14ac:dyDescent="0.25">
      <c r="A23" s="5">
        <v>43861</v>
      </c>
      <c r="B23" s="6">
        <v>5759998</v>
      </c>
      <c r="C23" s="6">
        <v>39085129490.350021</v>
      </c>
      <c r="D23" s="7">
        <f t="shared" si="0"/>
        <v>5.2339281610108888E-2</v>
      </c>
      <c r="E23" s="7">
        <f t="shared" si="0"/>
        <v>-2.5245480719335051E-2</v>
      </c>
      <c r="F23" s="8">
        <f>DATEDIF(
    DATE(YEAR(MTH_VolVal_InstaPay[[#This Row],[Period]]), MONTH(MTH_VolVal_InstaPay[[#This Row],[Period]]), 1),
    DATE(YEAR(MAX(MTH_VolVal_InstaPay[Period])), MONTH(MAX(MTH_VolVal_InstaPay[Period])), 1),
    "M"
)</f>
        <v>71</v>
      </c>
      <c r="G23" s="10" t="str">
        <f>TEXT(MTH_VolVal_InstaPay[[#This Row],[Period]], "YYYY") &amp; "-Q" &amp; ROUNDUP(MONTH(MTH_VolVal_InstaPay[[#This Row],[Period]])/3, 0)</f>
        <v>2020-Q1</v>
      </c>
    </row>
    <row r="24" spans="1:7" x14ac:dyDescent="0.25">
      <c r="A24" s="5">
        <v>43890</v>
      </c>
      <c r="B24" s="6">
        <v>6426838</v>
      </c>
      <c r="C24" s="6">
        <v>40552145217.459991</v>
      </c>
      <c r="D24" s="7">
        <f t="shared" si="0"/>
        <v>0.11577087353155331</v>
      </c>
      <c r="E24" s="7">
        <f t="shared" si="0"/>
        <v>3.7533858688434715E-2</v>
      </c>
      <c r="F24" s="8">
        <f>DATEDIF(
    DATE(YEAR(MTH_VolVal_InstaPay[[#This Row],[Period]]), MONTH(MTH_VolVal_InstaPay[[#This Row],[Period]]), 1),
    DATE(YEAR(MAX(MTH_VolVal_InstaPay[Period])), MONTH(MAX(MTH_VolVal_InstaPay[Period])), 1),
    "M"
)</f>
        <v>70</v>
      </c>
      <c r="G24" s="10" t="str">
        <f>TEXT(MTH_VolVal_InstaPay[[#This Row],[Period]], "YYYY") &amp; "-Q" &amp; ROUNDUP(MONTH(MTH_VolVal_InstaPay[[#This Row],[Period]])/3, 0)</f>
        <v>2020-Q1</v>
      </c>
    </row>
    <row r="25" spans="1:7" x14ac:dyDescent="0.25">
      <c r="A25" s="5">
        <v>43921</v>
      </c>
      <c r="B25" s="6">
        <v>7149889</v>
      </c>
      <c r="C25" s="6">
        <v>46138110453.609985</v>
      </c>
      <c r="D25" s="7">
        <f t="shared" ref="D25:E40" si="1">(B25-B24)/B24</f>
        <v>0.11250493633105424</v>
      </c>
      <c r="E25" s="7">
        <f t="shared" si="1"/>
        <v>0.1377477123884662</v>
      </c>
      <c r="F25" s="8">
        <f>DATEDIF(
    DATE(YEAR(MTH_VolVal_InstaPay[[#This Row],[Period]]), MONTH(MTH_VolVal_InstaPay[[#This Row],[Period]]), 1),
    DATE(YEAR(MAX(MTH_VolVal_InstaPay[Period])), MONTH(MAX(MTH_VolVal_InstaPay[Period])), 1),
    "M"
)</f>
        <v>69</v>
      </c>
      <c r="G25" s="10" t="str">
        <f>TEXT(MTH_VolVal_InstaPay[[#This Row],[Period]], "YYYY") &amp; "-Q" &amp; ROUNDUP(MONTH(MTH_VolVal_InstaPay[[#This Row],[Period]])/3, 0)</f>
        <v>2020-Q1</v>
      </c>
    </row>
    <row r="26" spans="1:7" x14ac:dyDescent="0.25">
      <c r="A26" s="5">
        <v>43951</v>
      </c>
      <c r="B26" s="6">
        <v>9598802</v>
      </c>
      <c r="C26" s="6">
        <v>57286070855.729988</v>
      </c>
      <c r="D26" s="7">
        <f t="shared" si="1"/>
        <v>0.34251063198323778</v>
      </c>
      <c r="E26" s="7">
        <f t="shared" si="1"/>
        <v>0.24162152052864905</v>
      </c>
      <c r="F26" s="8">
        <f>DATEDIF(
    DATE(YEAR(MTH_VolVal_InstaPay[[#This Row],[Period]]), MONTH(MTH_VolVal_InstaPay[[#This Row],[Period]]), 1),
    DATE(YEAR(MAX(MTH_VolVal_InstaPay[Period])), MONTH(MAX(MTH_VolVal_InstaPay[Period])), 1),
    "M"
)</f>
        <v>68</v>
      </c>
      <c r="G26" s="10" t="str">
        <f>TEXT(MTH_VolVal_InstaPay[[#This Row],[Period]], "YYYY") &amp; "-Q" &amp; ROUNDUP(MONTH(MTH_VolVal_InstaPay[[#This Row],[Period]])/3, 0)</f>
        <v>2020-Q2</v>
      </c>
    </row>
    <row r="27" spans="1:7" x14ac:dyDescent="0.25">
      <c r="A27" s="5">
        <v>43982</v>
      </c>
      <c r="B27" s="6">
        <v>14960785</v>
      </c>
      <c r="C27" s="6">
        <v>84921749402.929977</v>
      </c>
      <c r="D27" s="7">
        <f t="shared" si="1"/>
        <v>0.55860960565703932</v>
      </c>
      <c r="E27" s="7">
        <f t="shared" si="1"/>
        <v>0.48241532600129017</v>
      </c>
      <c r="F27" s="8">
        <f>DATEDIF(
    DATE(YEAR(MTH_VolVal_InstaPay[[#This Row],[Period]]), MONTH(MTH_VolVal_InstaPay[[#This Row],[Period]]), 1),
    DATE(YEAR(MAX(MTH_VolVal_InstaPay[Period])), MONTH(MAX(MTH_VolVal_InstaPay[Period])), 1),
    "M"
)</f>
        <v>67</v>
      </c>
      <c r="G27" s="10" t="str">
        <f>TEXT(MTH_VolVal_InstaPay[[#This Row],[Period]], "YYYY") &amp; "-Q" &amp; ROUNDUP(MONTH(MTH_VolVal_InstaPay[[#This Row],[Period]])/3, 0)</f>
        <v>2020-Q2</v>
      </c>
    </row>
    <row r="28" spans="1:7" x14ac:dyDescent="0.25">
      <c r="A28" s="5">
        <v>44012</v>
      </c>
      <c r="B28" s="6">
        <v>18345171</v>
      </c>
      <c r="C28" s="6">
        <v>100313397162.45</v>
      </c>
      <c r="D28" s="7">
        <f t="shared" si="1"/>
        <v>0.22621714034390575</v>
      </c>
      <c r="E28" s="7">
        <f t="shared" si="1"/>
        <v>0.18124506228069973</v>
      </c>
      <c r="F28" s="8">
        <f>DATEDIF(
    DATE(YEAR(MTH_VolVal_InstaPay[[#This Row],[Period]]), MONTH(MTH_VolVal_InstaPay[[#This Row],[Period]]), 1),
    DATE(YEAR(MAX(MTH_VolVal_InstaPay[Period])), MONTH(MAX(MTH_VolVal_InstaPay[Period])), 1),
    "M"
)</f>
        <v>66</v>
      </c>
      <c r="G28" s="10" t="str">
        <f>TEXT(MTH_VolVal_InstaPay[[#This Row],[Period]], "YYYY") &amp; "-Q" &amp; ROUNDUP(MONTH(MTH_VolVal_InstaPay[[#This Row],[Period]])/3, 0)</f>
        <v>2020-Q2</v>
      </c>
    </row>
    <row r="29" spans="1:7" x14ac:dyDescent="0.25">
      <c r="A29" s="5">
        <v>44043</v>
      </c>
      <c r="B29" s="6">
        <v>24158430</v>
      </c>
      <c r="C29" s="6">
        <v>120462039840.47002</v>
      </c>
      <c r="D29" s="7">
        <f t="shared" si="1"/>
        <v>0.31688224655959873</v>
      </c>
      <c r="E29" s="7">
        <f t="shared" si="1"/>
        <v>0.20085694680831923</v>
      </c>
      <c r="F29" s="8">
        <f>DATEDIF(
    DATE(YEAR(MTH_VolVal_InstaPay[[#This Row],[Period]]), MONTH(MTH_VolVal_InstaPay[[#This Row],[Period]]), 1),
    DATE(YEAR(MAX(MTH_VolVal_InstaPay[Period])), MONTH(MAX(MTH_VolVal_InstaPay[Period])), 1),
    "M"
)</f>
        <v>65</v>
      </c>
      <c r="G29" s="10" t="str">
        <f>TEXT(MTH_VolVal_InstaPay[[#This Row],[Period]], "YYYY") &amp; "-Q" &amp; ROUNDUP(MONTH(MTH_VolVal_InstaPay[[#This Row],[Period]])/3, 0)</f>
        <v>2020-Q3</v>
      </c>
    </row>
    <row r="30" spans="1:7" x14ac:dyDescent="0.25">
      <c r="A30" s="5">
        <v>44074</v>
      </c>
      <c r="B30" s="6">
        <v>29472575</v>
      </c>
      <c r="C30" s="6">
        <v>141204112261.15002</v>
      </c>
      <c r="D30" s="7">
        <f t="shared" si="1"/>
        <v>0.21997062723032912</v>
      </c>
      <c r="E30" s="7">
        <f t="shared" si="1"/>
        <v>0.17218762398635368</v>
      </c>
      <c r="F30" s="8">
        <f>DATEDIF(
    DATE(YEAR(MTH_VolVal_InstaPay[[#This Row],[Period]]), MONTH(MTH_VolVal_InstaPay[[#This Row],[Period]]), 1),
    DATE(YEAR(MAX(MTH_VolVal_InstaPay[Period])), MONTH(MAX(MTH_VolVal_InstaPay[Period])), 1),
    "M"
)</f>
        <v>64</v>
      </c>
      <c r="G30" s="10" t="str">
        <f>TEXT(MTH_VolVal_InstaPay[[#This Row],[Period]], "YYYY") &amp; "-Q" &amp; ROUNDUP(MONTH(MTH_VolVal_InstaPay[[#This Row],[Period]])/3, 0)</f>
        <v>2020-Q3</v>
      </c>
    </row>
    <row r="31" spans="1:7" x14ac:dyDescent="0.25">
      <c r="A31" s="5">
        <v>44104</v>
      </c>
      <c r="B31" s="6">
        <v>30318978</v>
      </c>
      <c r="C31" s="6">
        <v>143228698135.04999</v>
      </c>
      <c r="D31" s="7">
        <f t="shared" si="1"/>
        <v>2.8718325426264926E-2</v>
      </c>
      <c r="E31" s="7">
        <f t="shared" si="1"/>
        <v>1.4338009293635811E-2</v>
      </c>
      <c r="F31" s="8">
        <f>DATEDIF(
    DATE(YEAR(MTH_VolVal_InstaPay[[#This Row],[Period]]), MONTH(MTH_VolVal_InstaPay[[#This Row],[Period]]), 1),
    DATE(YEAR(MAX(MTH_VolVal_InstaPay[Period])), MONTH(MAX(MTH_VolVal_InstaPay[Period])), 1),
    "M"
)</f>
        <v>63</v>
      </c>
      <c r="G31" s="10" t="str">
        <f>TEXT(MTH_VolVal_InstaPay[[#This Row],[Period]], "YYYY") &amp; "-Q" &amp; ROUNDUP(MONTH(MTH_VolVal_InstaPay[[#This Row],[Period]])/3, 0)</f>
        <v>2020-Q3</v>
      </c>
    </row>
    <row r="32" spans="1:7" x14ac:dyDescent="0.25">
      <c r="A32" s="5">
        <v>44135</v>
      </c>
      <c r="B32" s="6">
        <v>29812033</v>
      </c>
      <c r="C32" s="6">
        <v>142550293116.89996</v>
      </c>
      <c r="D32" s="7">
        <f t="shared" si="1"/>
        <v>-1.6720385495843561E-2</v>
      </c>
      <c r="E32" s="7">
        <f t="shared" si="1"/>
        <v>-4.7365159844597483E-3</v>
      </c>
      <c r="F32" s="8">
        <f>DATEDIF(
    DATE(YEAR(MTH_VolVal_InstaPay[[#This Row],[Period]]), MONTH(MTH_VolVal_InstaPay[[#This Row],[Period]]), 1),
    DATE(YEAR(MAX(MTH_VolVal_InstaPay[Period])), MONTH(MAX(MTH_VolVal_InstaPay[Period])), 1),
    "M"
)</f>
        <v>62</v>
      </c>
      <c r="G32" s="10" t="str">
        <f>TEXT(MTH_VolVal_InstaPay[[#This Row],[Period]], "YYYY") &amp; "-Q" &amp; ROUNDUP(MONTH(MTH_VolVal_InstaPay[[#This Row],[Period]])/3, 0)</f>
        <v>2020-Q4</v>
      </c>
    </row>
    <row r="33" spans="1:7" x14ac:dyDescent="0.25">
      <c r="A33" s="5">
        <v>44165</v>
      </c>
      <c r="B33" s="6">
        <v>26298074</v>
      </c>
      <c r="C33" s="6">
        <v>144384348482.99002</v>
      </c>
      <c r="D33" s="7">
        <f t="shared" si="1"/>
        <v>-0.11787049209290759</v>
      </c>
      <c r="E33" s="7">
        <f t="shared" si="1"/>
        <v>1.2866023113582935E-2</v>
      </c>
      <c r="F33" s="8">
        <f>DATEDIF(
    DATE(YEAR(MTH_VolVal_InstaPay[[#This Row],[Period]]), MONTH(MTH_VolVal_InstaPay[[#This Row],[Period]]), 1),
    DATE(YEAR(MAX(MTH_VolVal_InstaPay[Period])), MONTH(MAX(MTH_VolVal_InstaPay[Period])), 1),
    "M"
)</f>
        <v>61</v>
      </c>
      <c r="G33" s="10" t="str">
        <f>TEXT(MTH_VolVal_InstaPay[[#This Row],[Period]], "YYYY") &amp; "-Q" &amp; ROUNDUP(MONTH(MTH_VolVal_InstaPay[[#This Row],[Period]])/3, 0)</f>
        <v>2020-Q4</v>
      </c>
    </row>
    <row r="34" spans="1:7" x14ac:dyDescent="0.25">
      <c r="A34" s="5">
        <v>44196</v>
      </c>
      <c r="B34" s="6">
        <v>30606418</v>
      </c>
      <c r="C34" s="6">
        <v>176470177243.47006</v>
      </c>
      <c r="D34" s="7">
        <f t="shared" si="1"/>
        <v>0.16382735861188921</v>
      </c>
      <c r="E34" s="7">
        <f t="shared" si="1"/>
        <v>0.22222511717923557</v>
      </c>
      <c r="F34" s="8">
        <f>DATEDIF(
    DATE(YEAR(MTH_VolVal_InstaPay[[#This Row],[Period]]), MONTH(MTH_VolVal_InstaPay[[#This Row],[Period]]), 1),
    DATE(YEAR(MAX(MTH_VolVal_InstaPay[Period])), MONTH(MAX(MTH_VolVal_InstaPay[Period])), 1),
    "M"
)</f>
        <v>60</v>
      </c>
      <c r="G34" s="10" t="str">
        <f>TEXT(MTH_VolVal_InstaPay[[#This Row],[Period]], "YYYY") &amp; "-Q" &amp; ROUNDUP(MONTH(MTH_VolVal_InstaPay[[#This Row],[Period]])/3, 0)</f>
        <v>2020-Q4</v>
      </c>
    </row>
    <row r="35" spans="1:7" x14ac:dyDescent="0.25">
      <c r="A35" s="5">
        <v>44227</v>
      </c>
      <c r="B35" s="6">
        <v>28549303</v>
      </c>
      <c r="C35" s="6">
        <v>162713416281.58997</v>
      </c>
      <c r="D35" s="7">
        <f t="shared" si="1"/>
        <v>-6.7211883468362751E-2</v>
      </c>
      <c r="E35" s="7">
        <f t="shared" si="1"/>
        <v>-7.7955160337943946E-2</v>
      </c>
      <c r="F35" s="8">
        <f>DATEDIF(
    DATE(YEAR(MTH_VolVal_InstaPay[[#This Row],[Period]]), MONTH(MTH_VolVal_InstaPay[[#This Row],[Period]]), 1),
    DATE(YEAR(MAX(MTH_VolVal_InstaPay[Period])), MONTH(MAX(MTH_VolVal_InstaPay[Period])), 1),
    "M"
)</f>
        <v>59</v>
      </c>
      <c r="G35" s="10" t="str">
        <f>TEXT(MTH_VolVal_InstaPay[[#This Row],[Period]], "YYYY") &amp; "-Q" &amp; ROUNDUP(MONTH(MTH_VolVal_InstaPay[[#This Row],[Period]])/3, 0)</f>
        <v>2021-Q1</v>
      </c>
    </row>
    <row r="36" spans="1:7" x14ac:dyDescent="0.25">
      <c r="A36" s="5">
        <v>44255</v>
      </c>
      <c r="B36" s="6">
        <v>28850473</v>
      </c>
      <c r="C36" s="6">
        <v>162043692186.55005</v>
      </c>
      <c r="D36" s="7">
        <f t="shared" si="1"/>
        <v>1.0549119185151385E-2</v>
      </c>
      <c r="E36" s="7">
        <f t="shared" si="1"/>
        <v>-4.1159734110732468E-3</v>
      </c>
      <c r="F36" s="8">
        <f>DATEDIF(
    DATE(YEAR(MTH_VolVal_InstaPay[[#This Row],[Period]]), MONTH(MTH_VolVal_InstaPay[[#This Row],[Period]]), 1),
    DATE(YEAR(MAX(MTH_VolVal_InstaPay[Period])), MONTH(MAX(MTH_VolVal_InstaPay[Period])), 1),
    "M"
)</f>
        <v>58</v>
      </c>
      <c r="G36" s="10" t="str">
        <f>TEXT(MTH_VolVal_InstaPay[[#This Row],[Period]], "YYYY") &amp; "-Q" &amp; ROUNDUP(MONTH(MTH_VolVal_InstaPay[[#This Row],[Period]])/3, 0)</f>
        <v>2021-Q1</v>
      </c>
    </row>
    <row r="37" spans="1:7" x14ac:dyDescent="0.25">
      <c r="A37" s="5">
        <v>44286</v>
      </c>
      <c r="B37" s="6">
        <v>33418629</v>
      </c>
      <c r="C37" s="6">
        <v>192564102235.5</v>
      </c>
      <c r="D37" s="7">
        <f t="shared" si="1"/>
        <v>0.15833903312434428</v>
      </c>
      <c r="E37" s="7">
        <f t="shared" si="1"/>
        <v>0.18834679484971156</v>
      </c>
      <c r="F37" s="8">
        <f>DATEDIF(
    DATE(YEAR(MTH_VolVal_InstaPay[[#This Row],[Period]]), MONTH(MTH_VolVal_InstaPay[[#This Row],[Period]]), 1),
    DATE(YEAR(MAX(MTH_VolVal_InstaPay[Period])), MONTH(MAX(MTH_VolVal_InstaPay[Period])), 1),
    "M"
)</f>
        <v>57</v>
      </c>
      <c r="G37" s="10" t="str">
        <f>TEXT(MTH_VolVal_InstaPay[[#This Row],[Period]], "YYYY") &amp; "-Q" &amp; ROUNDUP(MONTH(MTH_VolVal_InstaPay[[#This Row],[Period]])/3, 0)</f>
        <v>2021-Q1</v>
      </c>
    </row>
    <row r="38" spans="1:7" x14ac:dyDescent="0.25">
      <c r="A38" s="5">
        <v>44316</v>
      </c>
      <c r="B38" s="6">
        <v>34585666</v>
      </c>
      <c r="C38" s="6">
        <v>198839079277.69009</v>
      </c>
      <c r="D38" s="7">
        <f t="shared" si="1"/>
        <v>3.4921749782134991E-2</v>
      </c>
      <c r="E38" s="7">
        <f t="shared" si="1"/>
        <v>3.2586432098938092E-2</v>
      </c>
      <c r="F38" s="8">
        <f>DATEDIF(
    DATE(YEAR(MTH_VolVal_InstaPay[[#This Row],[Period]]), MONTH(MTH_VolVal_InstaPay[[#This Row],[Period]]), 1),
    DATE(YEAR(MAX(MTH_VolVal_InstaPay[Period])), MONTH(MAX(MTH_VolVal_InstaPay[Period])), 1),
    "M"
)</f>
        <v>56</v>
      </c>
      <c r="G38" s="10" t="str">
        <f>TEXT(MTH_VolVal_InstaPay[[#This Row],[Period]], "YYYY") &amp; "-Q" &amp; ROUNDUP(MONTH(MTH_VolVal_InstaPay[[#This Row],[Period]])/3, 0)</f>
        <v>2021-Q2</v>
      </c>
    </row>
    <row r="39" spans="1:7" x14ac:dyDescent="0.25">
      <c r="A39" s="5">
        <v>44347</v>
      </c>
      <c r="B39" s="6">
        <v>38207744</v>
      </c>
      <c r="C39" s="6">
        <v>221857693271.64008</v>
      </c>
      <c r="D39" s="7">
        <f t="shared" si="1"/>
        <v>0.10472772159425815</v>
      </c>
      <c r="E39" s="7">
        <f t="shared" si="1"/>
        <v>0.11576504013983678</v>
      </c>
      <c r="F39" s="8">
        <f>DATEDIF(
    DATE(YEAR(MTH_VolVal_InstaPay[[#This Row],[Period]]), MONTH(MTH_VolVal_InstaPay[[#This Row],[Period]]), 1),
    DATE(YEAR(MAX(MTH_VolVal_InstaPay[Period])), MONTH(MAX(MTH_VolVal_InstaPay[Period])), 1),
    "M"
)</f>
        <v>55</v>
      </c>
      <c r="G39" s="10" t="str">
        <f>TEXT(MTH_VolVal_InstaPay[[#This Row],[Period]], "YYYY") &amp; "-Q" &amp; ROUNDUP(MONTH(MTH_VolVal_InstaPay[[#This Row],[Period]])/3, 0)</f>
        <v>2021-Q2</v>
      </c>
    </row>
    <row r="40" spans="1:7" x14ac:dyDescent="0.25">
      <c r="A40" s="5">
        <v>44377</v>
      </c>
      <c r="B40" s="6">
        <v>37130969</v>
      </c>
      <c r="C40" s="6">
        <v>213233971792.70007</v>
      </c>
      <c r="D40" s="7">
        <f t="shared" si="1"/>
        <v>-2.8182114076141213E-2</v>
      </c>
      <c r="E40" s="7">
        <f t="shared" si="1"/>
        <v>-3.8870509071692254E-2</v>
      </c>
      <c r="F40" s="8">
        <f>DATEDIF(
    DATE(YEAR(MTH_VolVal_InstaPay[[#This Row],[Period]]), MONTH(MTH_VolVal_InstaPay[[#This Row],[Period]]), 1),
    DATE(YEAR(MAX(MTH_VolVal_InstaPay[Period])), MONTH(MAX(MTH_VolVal_InstaPay[Period])), 1),
    "M"
)</f>
        <v>54</v>
      </c>
      <c r="G40" s="10" t="str">
        <f>TEXT(MTH_VolVal_InstaPay[[#This Row],[Period]], "YYYY") &amp; "-Q" &amp; ROUNDUP(MONTH(MTH_VolVal_InstaPay[[#This Row],[Period]])/3, 0)</f>
        <v>2021-Q2</v>
      </c>
    </row>
    <row r="41" spans="1:7" x14ac:dyDescent="0.25">
      <c r="A41" s="5">
        <v>44408</v>
      </c>
      <c r="B41" s="6">
        <v>39716639</v>
      </c>
      <c r="C41" s="6">
        <v>244742590971.10992</v>
      </c>
      <c r="D41" s="7">
        <f t="shared" ref="D41:E56" si="2">(B41-B40)/B40</f>
        <v>6.9636480534617878E-2</v>
      </c>
      <c r="E41" s="7">
        <f t="shared" si="2"/>
        <v>0.147765475236008</v>
      </c>
      <c r="F41" s="8">
        <f>DATEDIF(
    DATE(YEAR(MTH_VolVal_InstaPay[[#This Row],[Period]]), MONTH(MTH_VolVal_InstaPay[[#This Row],[Period]]), 1),
    DATE(YEAR(MAX(MTH_VolVal_InstaPay[Period])), MONTH(MAX(MTH_VolVal_InstaPay[Period])), 1),
    "M"
)</f>
        <v>53</v>
      </c>
      <c r="G41" s="10" t="str">
        <f>TEXT(MTH_VolVal_InstaPay[[#This Row],[Period]], "YYYY") &amp; "-Q" &amp; ROUNDUP(MONTH(MTH_VolVal_InstaPay[[#This Row],[Period]])/3, 0)</f>
        <v>2021-Q3</v>
      </c>
    </row>
    <row r="42" spans="1:7" x14ac:dyDescent="0.25">
      <c r="A42" s="5">
        <v>44439</v>
      </c>
      <c r="B42" s="6">
        <v>40837760</v>
      </c>
      <c r="C42" s="6">
        <v>249179087992.76999</v>
      </c>
      <c r="D42" s="7">
        <f t="shared" si="2"/>
        <v>2.8227992806742788E-2</v>
      </c>
      <c r="E42" s="7">
        <f t="shared" si="2"/>
        <v>1.8127196431387625E-2</v>
      </c>
      <c r="F42" s="8">
        <f>DATEDIF(
    DATE(YEAR(MTH_VolVal_InstaPay[[#This Row],[Period]]), MONTH(MTH_VolVal_InstaPay[[#This Row],[Period]]), 1),
    DATE(YEAR(MAX(MTH_VolVal_InstaPay[Period])), MONTH(MAX(MTH_VolVal_InstaPay[Period])), 1),
    "M"
)</f>
        <v>52</v>
      </c>
      <c r="G42" s="10" t="str">
        <f>TEXT(MTH_VolVal_InstaPay[[#This Row],[Period]], "YYYY") &amp; "-Q" &amp; ROUNDUP(MONTH(MTH_VolVal_InstaPay[[#This Row],[Period]])/3, 0)</f>
        <v>2021-Q3</v>
      </c>
    </row>
    <row r="43" spans="1:7" x14ac:dyDescent="0.25">
      <c r="A43" s="5">
        <v>44469</v>
      </c>
      <c r="B43" s="6">
        <v>40679835</v>
      </c>
      <c r="C43" s="6">
        <v>243610703774.91989</v>
      </c>
      <c r="D43" s="7">
        <f t="shared" si="2"/>
        <v>-3.8671317917535145E-3</v>
      </c>
      <c r="E43" s="7">
        <f t="shared" si="2"/>
        <v>-2.2346916278992345E-2</v>
      </c>
      <c r="F43" s="8">
        <f>DATEDIF(
    DATE(YEAR(MTH_VolVal_InstaPay[[#This Row],[Period]]), MONTH(MTH_VolVal_InstaPay[[#This Row],[Period]]), 1),
    DATE(YEAR(MAX(MTH_VolVal_InstaPay[Period])), MONTH(MAX(MTH_VolVal_InstaPay[Period])), 1),
    "M"
)</f>
        <v>51</v>
      </c>
      <c r="G43" s="10" t="str">
        <f>TEXT(MTH_VolVal_InstaPay[[#This Row],[Period]], "YYYY") &amp; "-Q" &amp; ROUNDUP(MONTH(MTH_VolVal_InstaPay[[#This Row],[Period]])/3, 0)</f>
        <v>2021-Q3</v>
      </c>
    </row>
    <row r="44" spans="1:7" x14ac:dyDescent="0.25">
      <c r="A44" s="5">
        <v>44500</v>
      </c>
      <c r="B44" s="6">
        <v>41918787</v>
      </c>
      <c r="C44" s="6">
        <v>254663237245.85001</v>
      </c>
      <c r="D44" s="7">
        <f t="shared" si="2"/>
        <v>3.0456170729306054E-2</v>
      </c>
      <c r="E44" s="7">
        <f t="shared" si="2"/>
        <v>4.5369654533496694E-2</v>
      </c>
      <c r="F44" s="8">
        <f>DATEDIF(
    DATE(YEAR(MTH_VolVal_InstaPay[[#This Row],[Period]]), MONTH(MTH_VolVal_InstaPay[[#This Row],[Period]]), 1),
    DATE(YEAR(MAX(MTH_VolVal_InstaPay[Period])), MONTH(MAX(MTH_VolVal_InstaPay[Period])), 1),
    "M"
)</f>
        <v>50</v>
      </c>
      <c r="G44" s="10" t="str">
        <f>TEXT(MTH_VolVal_InstaPay[[#This Row],[Period]], "YYYY") &amp; "-Q" &amp; ROUNDUP(MONTH(MTH_VolVal_InstaPay[[#This Row],[Period]])/3, 0)</f>
        <v>2021-Q4</v>
      </c>
    </row>
    <row r="45" spans="1:7" x14ac:dyDescent="0.25">
      <c r="A45" s="5">
        <v>44530</v>
      </c>
      <c r="B45" s="6">
        <v>42818031</v>
      </c>
      <c r="C45" s="6">
        <v>270229838772.90997</v>
      </c>
      <c r="D45" s="7">
        <f t="shared" si="2"/>
        <v>2.1452052035761435E-2</v>
      </c>
      <c r="E45" s="7">
        <f t="shared" si="2"/>
        <v>6.1126221811246689E-2</v>
      </c>
      <c r="F45" s="8">
        <f>DATEDIF(
    DATE(YEAR(MTH_VolVal_InstaPay[[#This Row],[Period]]), MONTH(MTH_VolVal_InstaPay[[#This Row],[Period]]), 1),
    DATE(YEAR(MAX(MTH_VolVal_InstaPay[Period])), MONTH(MAX(MTH_VolVal_InstaPay[Period])), 1),
    "M"
)</f>
        <v>49</v>
      </c>
      <c r="G45" s="10" t="str">
        <f>TEXT(MTH_VolVal_InstaPay[[#This Row],[Period]], "YYYY") &amp; "-Q" &amp; ROUNDUP(MONTH(MTH_VolVal_InstaPay[[#This Row],[Period]])/3, 0)</f>
        <v>2021-Q4</v>
      </c>
    </row>
    <row r="46" spans="1:7" x14ac:dyDescent="0.25">
      <c r="A46" s="5">
        <v>44561</v>
      </c>
      <c r="B46" s="6">
        <v>44962518</v>
      </c>
      <c r="C46" s="6">
        <v>289159923228.82996</v>
      </c>
      <c r="D46" s="7">
        <f t="shared" si="2"/>
        <v>5.0083736919149788E-2</v>
      </c>
      <c r="E46" s="7">
        <f t="shared" si="2"/>
        <v>7.0051791992623166E-2</v>
      </c>
      <c r="F46" s="8">
        <f>DATEDIF(
    DATE(YEAR(MTH_VolVal_InstaPay[[#This Row],[Period]]), MONTH(MTH_VolVal_InstaPay[[#This Row],[Period]]), 1),
    DATE(YEAR(MAX(MTH_VolVal_InstaPay[Period])), MONTH(MAX(MTH_VolVal_InstaPay[Period])), 1),
    "M"
)</f>
        <v>48</v>
      </c>
      <c r="G46" s="10" t="str">
        <f>TEXT(MTH_VolVal_InstaPay[[#This Row],[Period]], "YYYY") &amp; "-Q" &amp; ROUNDUP(MONTH(MTH_VolVal_InstaPay[[#This Row],[Period]])/3, 0)</f>
        <v>2021-Q4</v>
      </c>
    </row>
    <row r="47" spans="1:7" x14ac:dyDescent="0.25">
      <c r="A47" s="5">
        <v>44592</v>
      </c>
      <c r="B47" s="6">
        <v>40368800</v>
      </c>
      <c r="C47" s="6">
        <v>253347824224.67996</v>
      </c>
      <c r="D47" s="7">
        <f t="shared" si="2"/>
        <v>-0.10216772112273605</v>
      </c>
      <c r="E47" s="7">
        <f t="shared" si="2"/>
        <v>-0.12384876370232567</v>
      </c>
      <c r="F47" s="8">
        <f>DATEDIF(
    DATE(YEAR(MTH_VolVal_InstaPay[[#This Row],[Period]]), MONTH(MTH_VolVal_InstaPay[[#This Row],[Period]]), 1),
    DATE(YEAR(MAX(MTH_VolVal_InstaPay[Period])), MONTH(MAX(MTH_VolVal_InstaPay[Period])), 1),
    "M"
)</f>
        <v>47</v>
      </c>
      <c r="G47" s="10" t="str">
        <f>TEXT(MTH_VolVal_InstaPay[[#This Row],[Period]], "YYYY") &amp; "-Q" &amp; ROUNDUP(MONTH(MTH_VolVal_InstaPay[[#This Row],[Period]])/3, 0)</f>
        <v>2022-Q1</v>
      </c>
    </row>
    <row r="48" spans="1:7" x14ac:dyDescent="0.25">
      <c r="A48" s="5">
        <v>44620</v>
      </c>
      <c r="B48" s="6">
        <v>38752462</v>
      </c>
      <c r="C48" s="6">
        <v>240149250173.79001</v>
      </c>
      <c r="D48" s="7">
        <f t="shared" si="2"/>
        <v>-4.0039287766790194E-2</v>
      </c>
      <c r="E48" s="7">
        <f t="shared" si="2"/>
        <v>-5.2096654436569696E-2</v>
      </c>
      <c r="F48" s="8">
        <f>DATEDIF(
    DATE(YEAR(MTH_VolVal_InstaPay[[#This Row],[Period]]), MONTH(MTH_VolVal_InstaPay[[#This Row],[Period]]), 1),
    DATE(YEAR(MAX(MTH_VolVal_InstaPay[Period])), MONTH(MAX(MTH_VolVal_InstaPay[Period])), 1),
    "M"
)</f>
        <v>46</v>
      </c>
      <c r="G48" s="10" t="str">
        <f>TEXT(MTH_VolVal_InstaPay[[#This Row],[Period]], "YYYY") &amp; "-Q" &amp; ROUNDUP(MONTH(MTH_VolVal_InstaPay[[#This Row],[Period]])/3, 0)</f>
        <v>2022-Q1</v>
      </c>
    </row>
    <row r="49" spans="1:7" x14ac:dyDescent="0.25">
      <c r="A49" s="5">
        <v>44651</v>
      </c>
      <c r="B49" s="6">
        <v>44268713</v>
      </c>
      <c r="C49" s="6">
        <v>278814745766.50995</v>
      </c>
      <c r="D49" s="7">
        <f t="shared" si="2"/>
        <v>0.1423458205055462</v>
      </c>
      <c r="E49" s="7">
        <f t="shared" si="2"/>
        <v>0.1610061058476705</v>
      </c>
      <c r="F49" s="8">
        <f>DATEDIF(
    DATE(YEAR(MTH_VolVal_InstaPay[[#This Row],[Period]]), MONTH(MTH_VolVal_InstaPay[[#This Row],[Period]]), 1),
    DATE(YEAR(MAX(MTH_VolVal_InstaPay[Period])), MONTH(MAX(MTH_VolVal_InstaPay[Period])), 1),
    "M"
)</f>
        <v>45</v>
      </c>
      <c r="G49" s="10" t="str">
        <f>TEXT(MTH_VolVal_InstaPay[[#This Row],[Period]], "YYYY") &amp; "-Q" &amp; ROUNDUP(MONTH(MTH_VolVal_InstaPay[[#This Row],[Period]])/3, 0)</f>
        <v>2022-Q1</v>
      </c>
    </row>
    <row r="50" spans="1:7" x14ac:dyDescent="0.25">
      <c r="A50" s="5">
        <v>44681</v>
      </c>
      <c r="B50" s="6">
        <v>43023715</v>
      </c>
      <c r="C50" s="6">
        <v>267705936308.88995</v>
      </c>
      <c r="D50" s="7">
        <f t="shared" si="2"/>
        <v>-2.8123654735569114E-2</v>
      </c>
      <c r="E50" s="7">
        <f t="shared" si="2"/>
        <v>-3.9842976837828135E-2</v>
      </c>
      <c r="F50" s="8">
        <f>DATEDIF(
    DATE(YEAR(MTH_VolVal_InstaPay[[#This Row],[Period]]), MONTH(MTH_VolVal_InstaPay[[#This Row],[Period]]), 1),
    DATE(YEAR(MAX(MTH_VolVal_InstaPay[Period])), MONTH(MAX(MTH_VolVal_InstaPay[Period])), 1),
    "M"
)</f>
        <v>44</v>
      </c>
      <c r="G50" s="10" t="str">
        <f>TEXT(MTH_VolVal_InstaPay[[#This Row],[Period]], "YYYY") &amp; "-Q" &amp; ROUNDUP(MONTH(MTH_VolVal_InstaPay[[#This Row],[Period]])/3, 0)</f>
        <v>2022-Q2</v>
      </c>
    </row>
    <row r="51" spans="1:7" x14ac:dyDescent="0.25">
      <c r="A51" s="5">
        <v>44712</v>
      </c>
      <c r="B51" s="6">
        <v>43483880</v>
      </c>
      <c r="C51" s="6">
        <v>279598943654.34009</v>
      </c>
      <c r="D51" s="7">
        <f t="shared" si="2"/>
        <v>1.0695612873039904E-2</v>
      </c>
      <c r="E51" s="7">
        <f t="shared" si="2"/>
        <v>4.4425639227243359E-2</v>
      </c>
      <c r="F51" s="8">
        <f>DATEDIF(
    DATE(YEAR(MTH_VolVal_InstaPay[[#This Row],[Period]]), MONTH(MTH_VolVal_InstaPay[[#This Row],[Period]]), 1),
    DATE(YEAR(MAX(MTH_VolVal_InstaPay[Period])), MONTH(MAX(MTH_VolVal_InstaPay[Period])), 1),
    "M"
)</f>
        <v>43</v>
      </c>
      <c r="G51" s="10" t="str">
        <f>TEXT(MTH_VolVal_InstaPay[[#This Row],[Period]], "YYYY") &amp; "-Q" &amp; ROUNDUP(MONTH(MTH_VolVal_InstaPay[[#This Row],[Period]])/3, 0)</f>
        <v>2022-Q2</v>
      </c>
    </row>
    <row r="52" spans="1:7" x14ac:dyDescent="0.25">
      <c r="A52" s="5">
        <v>44742</v>
      </c>
      <c r="B52" s="6">
        <v>43333418</v>
      </c>
      <c r="C52" s="6">
        <v>284206626547.47992</v>
      </c>
      <c r="D52" s="7">
        <f t="shared" si="2"/>
        <v>-3.4601788064910492E-3</v>
      </c>
      <c r="E52" s="7">
        <f t="shared" si="2"/>
        <v>1.6479614811550126E-2</v>
      </c>
      <c r="F52" s="8">
        <f>DATEDIF(
    DATE(YEAR(MTH_VolVal_InstaPay[[#This Row],[Period]]), MONTH(MTH_VolVal_InstaPay[[#This Row],[Period]]), 1),
    DATE(YEAR(MAX(MTH_VolVal_InstaPay[Period])), MONTH(MAX(MTH_VolVal_InstaPay[Period])), 1),
    "M"
)</f>
        <v>42</v>
      </c>
      <c r="G52" s="10" t="str">
        <f>TEXT(MTH_VolVal_InstaPay[[#This Row],[Period]], "YYYY") &amp; "-Q" &amp; ROUNDUP(MONTH(MTH_VolVal_InstaPay[[#This Row],[Period]])/3, 0)</f>
        <v>2022-Q2</v>
      </c>
    </row>
    <row r="53" spans="1:7" x14ac:dyDescent="0.25">
      <c r="A53" s="5">
        <v>44773</v>
      </c>
      <c r="B53" s="6">
        <v>46949283</v>
      </c>
      <c r="C53" s="6">
        <v>304233846076.08002</v>
      </c>
      <c r="D53" s="7">
        <f t="shared" si="2"/>
        <v>8.3442875426997243E-2</v>
      </c>
      <c r="E53" s="7">
        <f t="shared" si="2"/>
        <v>7.0467109693708438E-2</v>
      </c>
      <c r="F53" s="8">
        <f>DATEDIF(
    DATE(YEAR(MTH_VolVal_InstaPay[[#This Row],[Period]]), MONTH(MTH_VolVal_InstaPay[[#This Row],[Period]]), 1),
    DATE(YEAR(MAX(MTH_VolVal_InstaPay[Period])), MONTH(MAX(MTH_VolVal_InstaPay[Period])), 1),
    "M"
)</f>
        <v>41</v>
      </c>
      <c r="G53" s="10" t="str">
        <f>TEXT(MTH_VolVal_InstaPay[[#This Row],[Period]], "YYYY") &amp; "-Q" &amp; ROUNDUP(MONTH(MTH_VolVal_InstaPay[[#This Row],[Period]])/3, 0)</f>
        <v>2022-Q3</v>
      </c>
    </row>
    <row r="54" spans="1:7" x14ac:dyDescent="0.25">
      <c r="A54" s="5">
        <v>44804</v>
      </c>
      <c r="B54" s="6">
        <v>46174651</v>
      </c>
      <c r="C54" s="6">
        <v>298532114372.12</v>
      </c>
      <c r="D54" s="7">
        <f t="shared" si="2"/>
        <v>-1.64993361027473E-2</v>
      </c>
      <c r="E54" s="7">
        <f t="shared" si="2"/>
        <v>-1.8741280030145576E-2</v>
      </c>
      <c r="F54" s="8">
        <f>DATEDIF(
    DATE(YEAR(MTH_VolVal_InstaPay[[#This Row],[Period]]), MONTH(MTH_VolVal_InstaPay[[#This Row],[Period]]), 1),
    DATE(YEAR(MAX(MTH_VolVal_InstaPay[Period])), MONTH(MAX(MTH_VolVal_InstaPay[Period])), 1),
    "M"
)</f>
        <v>40</v>
      </c>
      <c r="G54" s="10" t="str">
        <f>TEXT(MTH_VolVal_InstaPay[[#This Row],[Period]], "YYYY") &amp; "-Q" &amp; ROUNDUP(MONTH(MTH_VolVal_InstaPay[[#This Row],[Period]])/3, 0)</f>
        <v>2022-Q3</v>
      </c>
    </row>
    <row r="55" spans="1:7" x14ac:dyDescent="0.25">
      <c r="A55" s="5">
        <v>44834</v>
      </c>
      <c r="B55" s="6">
        <v>45917139</v>
      </c>
      <c r="C55" s="6">
        <v>296566935226.21997</v>
      </c>
      <c r="D55" s="7">
        <f t="shared" si="2"/>
        <v>-5.5769127524104081E-3</v>
      </c>
      <c r="E55" s="7">
        <f t="shared" si="2"/>
        <v>-6.5828065098900226E-3</v>
      </c>
      <c r="F55" s="8">
        <f>DATEDIF(
    DATE(YEAR(MTH_VolVal_InstaPay[[#This Row],[Period]]), MONTH(MTH_VolVal_InstaPay[[#This Row],[Period]]), 1),
    DATE(YEAR(MAX(MTH_VolVal_InstaPay[Period])), MONTH(MAX(MTH_VolVal_InstaPay[Period])), 1),
    "M"
)</f>
        <v>39</v>
      </c>
      <c r="G55" s="10" t="str">
        <f>TEXT(MTH_VolVal_InstaPay[[#This Row],[Period]], "YYYY") &amp; "-Q" &amp; ROUNDUP(MONTH(MTH_VolVal_InstaPay[[#This Row],[Period]])/3, 0)</f>
        <v>2022-Q3</v>
      </c>
    </row>
    <row r="56" spans="1:7" x14ac:dyDescent="0.25">
      <c r="A56" s="5">
        <v>44865</v>
      </c>
      <c r="B56" s="6">
        <v>48790736</v>
      </c>
      <c r="C56" s="6">
        <v>312875691045.29999</v>
      </c>
      <c r="D56" s="7">
        <f t="shared" si="2"/>
        <v>6.2582231005289771E-2</v>
      </c>
      <c r="E56" s="7">
        <f t="shared" si="2"/>
        <v>5.4991821008770814E-2</v>
      </c>
      <c r="F56" s="8">
        <f>DATEDIF(
    DATE(YEAR(MTH_VolVal_InstaPay[[#This Row],[Period]]), MONTH(MTH_VolVal_InstaPay[[#This Row],[Period]]), 1),
    DATE(YEAR(MAX(MTH_VolVal_InstaPay[Period])), MONTH(MAX(MTH_VolVal_InstaPay[Period])), 1),
    "M"
)</f>
        <v>38</v>
      </c>
      <c r="G56" s="10" t="str">
        <f>TEXT(MTH_VolVal_InstaPay[[#This Row],[Period]], "YYYY") &amp; "-Q" &amp; ROUNDUP(MONTH(MTH_VolVal_InstaPay[[#This Row],[Period]])/3, 0)</f>
        <v>2022-Q4</v>
      </c>
    </row>
    <row r="57" spans="1:7" x14ac:dyDescent="0.25">
      <c r="A57" s="5">
        <v>44895</v>
      </c>
      <c r="B57" s="6">
        <v>51477644</v>
      </c>
      <c r="C57" s="6">
        <v>335475621034.09998</v>
      </c>
      <c r="D57" s="7">
        <f t="shared" ref="D57:E72" si="3">(B57-B56)/B56</f>
        <v>5.5070044444502746E-2</v>
      </c>
      <c r="E57" s="7">
        <f t="shared" si="3"/>
        <v>7.2232936708169618E-2</v>
      </c>
      <c r="F57" s="8">
        <f>DATEDIF(
    DATE(YEAR(MTH_VolVal_InstaPay[[#This Row],[Period]]), MONTH(MTH_VolVal_InstaPay[[#This Row],[Period]]), 1),
    DATE(YEAR(MAX(MTH_VolVal_InstaPay[Period])), MONTH(MAX(MTH_VolVal_InstaPay[Period])), 1),
    "M"
)</f>
        <v>37</v>
      </c>
      <c r="G57" s="10" t="str">
        <f>TEXT(MTH_VolVal_InstaPay[[#This Row],[Period]], "YYYY") &amp; "-Q" &amp; ROUNDUP(MONTH(MTH_VolVal_InstaPay[[#This Row],[Period]])/3, 0)</f>
        <v>2022-Q4</v>
      </c>
    </row>
    <row r="58" spans="1:7" x14ac:dyDescent="0.25">
      <c r="A58" s="5">
        <v>44926</v>
      </c>
      <c r="B58" s="6">
        <v>56121006</v>
      </c>
      <c r="C58" s="6">
        <v>383777480822.23999</v>
      </c>
      <c r="D58" s="7">
        <f t="shared" si="3"/>
        <v>9.020152515138416E-2</v>
      </c>
      <c r="E58" s="7">
        <f t="shared" si="3"/>
        <v>0.14398023808481242</v>
      </c>
      <c r="F58" s="8">
        <f>DATEDIF(
    DATE(YEAR(MTH_VolVal_InstaPay[[#This Row],[Period]]), MONTH(MTH_VolVal_InstaPay[[#This Row],[Period]]), 1),
    DATE(YEAR(MAX(MTH_VolVal_InstaPay[Period])), MONTH(MAX(MTH_VolVal_InstaPay[Period])), 1),
    "M"
)</f>
        <v>36</v>
      </c>
      <c r="G58" s="10" t="str">
        <f>TEXT(MTH_VolVal_InstaPay[[#This Row],[Period]], "YYYY") &amp; "-Q" &amp; ROUNDUP(MONTH(MTH_VolVal_InstaPay[[#This Row],[Period]])/3, 0)</f>
        <v>2022-Q4</v>
      </c>
    </row>
    <row r="59" spans="1:7" x14ac:dyDescent="0.25">
      <c r="A59" s="5">
        <v>44957</v>
      </c>
      <c r="B59" s="6">
        <v>51549289</v>
      </c>
      <c r="C59" s="6">
        <v>347964775588.78003</v>
      </c>
      <c r="D59" s="7">
        <f t="shared" si="3"/>
        <v>-8.1461779213294935E-2</v>
      </c>
      <c r="E59" s="7">
        <f t="shared" si="3"/>
        <v>-9.3316327880238165E-2</v>
      </c>
      <c r="F59" s="8">
        <f>DATEDIF(
    DATE(YEAR(MTH_VolVal_InstaPay[[#This Row],[Period]]), MONTH(MTH_VolVal_InstaPay[[#This Row],[Period]]), 1),
    DATE(YEAR(MAX(MTH_VolVal_InstaPay[Period])), MONTH(MAX(MTH_VolVal_InstaPay[Period])), 1),
    "M"
)</f>
        <v>35</v>
      </c>
      <c r="G59" s="10" t="str">
        <f>TEXT(MTH_VolVal_InstaPay[[#This Row],[Period]], "YYYY") &amp; "-Q" &amp; ROUNDUP(MONTH(MTH_VolVal_InstaPay[[#This Row],[Period]])/3, 0)</f>
        <v>2023-Q1</v>
      </c>
    </row>
    <row r="60" spans="1:7" x14ac:dyDescent="0.25">
      <c r="A60" s="5">
        <v>44985</v>
      </c>
      <c r="B60" s="6">
        <v>50238687</v>
      </c>
      <c r="C60" s="6">
        <v>333244155464</v>
      </c>
      <c r="D60" s="7">
        <f t="shared" si="3"/>
        <v>-2.5424249789361791E-2</v>
      </c>
      <c r="E60" s="7">
        <f t="shared" si="3"/>
        <v>-4.2304914627843408E-2</v>
      </c>
      <c r="F60" s="8">
        <f>DATEDIF(
    DATE(YEAR(MTH_VolVal_InstaPay[[#This Row],[Period]]), MONTH(MTH_VolVal_InstaPay[[#This Row],[Period]]), 1),
    DATE(YEAR(MAX(MTH_VolVal_InstaPay[Period])), MONTH(MAX(MTH_VolVal_InstaPay[Period])), 1),
    "M"
)</f>
        <v>34</v>
      </c>
      <c r="G60" s="10" t="str">
        <f>TEXT(MTH_VolVal_InstaPay[[#This Row],[Period]], "YYYY") &amp; "-Q" &amp; ROUNDUP(MONTH(MTH_VolVal_InstaPay[[#This Row],[Period]])/3, 0)</f>
        <v>2023-Q1</v>
      </c>
    </row>
    <row r="61" spans="1:7" x14ac:dyDescent="0.25">
      <c r="A61" s="5">
        <v>45016</v>
      </c>
      <c r="B61" s="6">
        <v>58196279</v>
      </c>
      <c r="C61" s="6">
        <v>388949984922.14001</v>
      </c>
      <c r="D61" s="7">
        <f t="shared" si="3"/>
        <v>0.15839570011055423</v>
      </c>
      <c r="E61" s="7">
        <f t="shared" si="3"/>
        <v>0.16716220988355143</v>
      </c>
      <c r="F61" s="8">
        <f>DATEDIF(
    DATE(YEAR(MTH_VolVal_InstaPay[[#This Row],[Period]]), MONTH(MTH_VolVal_InstaPay[[#This Row],[Period]]), 1),
    DATE(YEAR(MAX(MTH_VolVal_InstaPay[Period])), MONTH(MAX(MTH_VolVal_InstaPay[Period])), 1),
    "M"
)</f>
        <v>33</v>
      </c>
      <c r="G61" s="10" t="str">
        <f>TEXT(MTH_VolVal_InstaPay[[#This Row],[Period]], "YYYY") &amp; "-Q" &amp; ROUNDUP(MONTH(MTH_VolVal_InstaPay[[#This Row],[Period]])/3, 0)</f>
        <v>2023-Q1</v>
      </c>
    </row>
    <row r="62" spans="1:7" x14ac:dyDescent="0.25">
      <c r="A62" s="5">
        <v>45046</v>
      </c>
      <c r="B62" s="6">
        <v>58350482</v>
      </c>
      <c r="C62" s="6">
        <v>377229983064.59003</v>
      </c>
      <c r="D62" s="7">
        <f t="shared" si="3"/>
        <v>2.6497054906208005E-3</v>
      </c>
      <c r="E62" s="7">
        <f t="shared" si="3"/>
        <v>-3.0132413708400314E-2</v>
      </c>
      <c r="F62" s="8">
        <f>DATEDIF(
    DATE(YEAR(MTH_VolVal_InstaPay[[#This Row],[Period]]), MONTH(MTH_VolVal_InstaPay[[#This Row],[Period]]), 1),
    DATE(YEAR(MAX(MTH_VolVal_InstaPay[Period])), MONTH(MAX(MTH_VolVal_InstaPay[Period])), 1),
    "M"
)</f>
        <v>32</v>
      </c>
      <c r="G62" s="10" t="str">
        <f>TEXT(MTH_VolVal_InstaPay[[#This Row],[Period]], "YYYY") &amp; "-Q" &amp; ROUNDUP(MONTH(MTH_VolVal_InstaPay[[#This Row],[Period]])/3, 0)</f>
        <v>2023-Q2</v>
      </c>
    </row>
    <row r="63" spans="1:7" x14ac:dyDescent="0.25">
      <c r="A63" s="5">
        <v>45077</v>
      </c>
      <c r="B63" s="6">
        <v>65830406</v>
      </c>
      <c r="C63" s="6">
        <v>413829382366.97998</v>
      </c>
      <c r="D63" s="7">
        <f t="shared" si="3"/>
        <v>0.12818958376384962</v>
      </c>
      <c r="E63" s="7">
        <f t="shared" si="3"/>
        <v>9.7021448308692193E-2</v>
      </c>
      <c r="F63" s="11">
        <f>DATEDIF(
    DATE(YEAR(MTH_VolVal_InstaPay[[#This Row],[Period]]), MONTH(MTH_VolVal_InstaPay[[#This Row],[Period]]), 1),
    DATE(YEAR(MAX(MTH_VolVal_InstaPay[Period])), MONTH(MAX(MTH_VolVal_InstaPay[Period])), 1),
    "M"
)</f>
        <v>31</v>
      </c>
      <c r="G63" s="11" t="str">
        <f>TEXT(MTH_VolVal_InstaPay[[#This Row],[Period]], "YYYY") &amp; "-Q" &amp; ROUNDUP(MONTH(MTH_VolVal_InstaPay[[#This Row],[Period]])/3, 0)</f>
        <v>2023-Q2</v>
      </c>
    </row>
    <row r="64" spans="1:7" x14ac:dyDescent="0.25">
      <c r="A64" s="5">
        <v>45107</v>
      </c>
      <c r="B64" s="6">
        <v>68742889</v>
      </c>
      <c r="C64" s="6">
        <v>400856725259.63</v>
      </c>
      <c r="D64" s="7">
        <f t="shared" si="3"/>
        <v>4.4242215367773972E-2</v>
      </c>
      <c r="E64" s="7">
        <f t="shared" si="3"/>
        <v>-3.1347839617260301E-2</v>
      </c>
      <c r="F64" s="10">
        <f>DATEDIF(
    DATE(YEAR(MTH_VolVal_InstaPay[[#This Row],[Period]]), MONTH(MTH_VolVal_InstaPay[[#This Row],[Period]]), 1),
    DATE(YEAR(MAX(MTH_VolVal_InstaPay[Period])), MONTH(MAX(MTH_VolVal_InstaPay[Period])), 1),
    "M"
)</f>
        <v>30</v>
      </c>
      <c r="G64" s="10" t="str">
        <f>TEXT(MTH_VolVal_InstaPay[[#This Row],[Period]], "YYYY") &amp; "-Q" &amp; ROUNDUP(MONTH(MTH_VolVal_InstaPay[[#This Row],[Period]])/3, 0)</f>
        <v>2023-Q2</v>
      </c>
    </row>
    <row r="65" spans="1:7" x14ac:dyDescent="0.25">
      <c r="A65" s="5">
        <v>45138</v>
      </c>
      <c r="B65" s="6">
        <v>72167979</v>
      </c>
      <c r="C65" s="6">
        <v>426938540730.79999</v>
      </c>
      <c r="D65" s="7">
        <f t="shared" si="3"/>
        <v>4.982464440794742E-2</v>
      </c>
      <c r="E65" s="7">
        <f t="shared" si="3"/>
        <v>6.5065181217246915E-2</v>
      </c>
      <c r="F65" s="10">
        <f>DATEDIF(
    DATE(YEAR(MTH_VolVal_InstaPay[[#This Row],[Period]]), MONTH(MTH_VolVal_InstaPay[[#This Row],[Period]]), 1),
    DATE(YEAR(MAX(MTH_VolVal_InstaPay[Period])), MONTH(MAX(MTH_VolVal_InstaPay[Period])), 1),
    "M"
)</f>
        <v>29</v>
      </c>
      <c r="G65" s="10" t="str">
        <f>TEXT(MTH_VolVal_InstaPay[[#This Row],[Period]], "YYYY") &amp; "-Q" &amp; ROUNDUP(MONTH(MTH_VolVal_InstaPay[[#This Row],[Period]])/3, 0)</f>
        <v>2023-Q3</v>
      </c>
    </row>
    <row r="66" spans="1:7" x14ac:dyDescent="0.25">
      <c r="A66" s="5">
        <v>45169</v>
      </c>
      <c r="B66" s="6">
        <v>72014514</v>
      </c>
      <c r="C66" s="6">
        <v>431326450222.19</v>
      </c>
      <c r="D66" s="7">
        <f t="shared" si="3"/>
        <v>-2.1264971269321538E-3</v>
      </c>
      <c r="E66" s="7">
        <f t="shared" si="3"/>
        <v>1.0277613925131084E-2</v>
      </c>
      <c r="F66" s="10">
        <f>DATEDIF(
    DATE(YEAR(MTH_VolVal_InstaPay[[#This Row],[Period]]), MONTH(MTH_VolVal_InstaPay[[#This Row],[Period]]), 1),
    DATE(YEAR(MAX(MTH_VolVal_InstaPay[Period])), MONTH(MAX(MTH_VolVal_InstaPay[Period])), 1),
    "M"
)</f>
        <v>28</v>
      </c>
      <c r="G66" s="10" t="str">
        <f>TEXT(MTH_VolVal_InstaPay[[#This Row],[Period]], "YYYY") &amp; "-Q" &amp; ROUNDUP(MONTH(MTH_VolVal_InstaPay[[#This Row],[Period]])/3, 0)</f>
        <v>2023-Q3</v>
      </c>
    </row>
    <row r="67" spans="1:7" x14ac:dyDescent="0.25">
      <c r="A67" s="5">
        <v>45199</v>
      </c>
      <c r="B67" s="6">
        <v>74021198</v>
      </c>
      <c r="C67" s="6">
        <v>429257892307.54999</v>
      </c>
      <c r="D67" s="7">
        <f t="shared" si="3"/>
        <v>2.7864993992738743E-2</v>
      </c>
      <c r="E67" s="7">
        <f t="shared" si="3"/>
        <v>-4.7958058532567025E-3</v>
      </c>
      <c r="F67" s="10">
        <f>DATEDIF(
    DATE(YEAR(MTH_VolVal_InstaPay[[#This Row],[Period]]), MONTH(MTH_VolVal_InstaPay[[#This Row],[Period]]), 1),
    DATE(YEAR(MAX(MTH_VolVal_InstaPay[Period])), MONTH(MAX(MTH_VolVal_InstaPay[Period])), 1),
    "M"
)</f>
        <v>27</v>
      </c>
      <c r="G67" s="10" t="str">
        <f>TEXT(MTH_VolVal_InstaPay[[#This Row],[Period]], "YYYY") &amp; "-Q" &amp; ROUNDUP(MONTH(MTH_VolVal_InstaPay[[#This Row],[Period]])/3, 0)</f>
        <v>2023-Q3</v>
      </c>
    </row>
    <row r="68" spans="1:7" x14ac:dyDescent="0.25">
      <c r="A68" s="5">
        <v>45230</v>
      </c>
      <c r="B68" s="6">
        <v>86645360</v>
      </c>
      <c r="C68" s="6">
        <v>457024280204.14001</v>
      </c>
      <c r="D68" s="7">
        <f t="shared" si="3"/>
        <v>0.17054792871631178</v>
      </c>
      <c r="E68" s="7">
        <f t="shared" si="3"/>
        <v>6.468462990238108E-2</v>
      </c>
      <c r="F68" s="10">
        <f>DATEDIF(
    DATE(YEAR(MTH_VolVal_InstaPay[[#This Row],[Period]]), MONTH(MTH_VolVal_InstaPay[[#This Row],[Period]]), 1),
    DATE(YEAR(MAX(MTH_VolVal_InstaPay[Period])), MONTH(MAX(MTH_VolVal_InstaPay[Period])), 1),
    "M"
)</f>
        <v>26</v>
      </c>
      <c r="G68" s="10" t="str">
        <f>TEXT(MTH_VolVal_InstaPay[[#This Row],[Period]], "YYYY") &amp; "-Q" &amp; ROUNDUP(MONTH(MTH_VolVal_InstaPay[[#This Row],[Period]])/3, 0)</f>
        <v>2023-Q4</v>
      </c>
    </row>
    <row r="69" spans="1:7" x14ac:dyDescent="0.25">
      <c r="A69" s="5">
        <v>45260</v>
      </c>
      <c r="B69" s="6">
        <v>83798319</v>
      </c>
      <c r="C69" s="6">
        <v>465198493932.85999</v>
      </c>
      <c r="D69" s="7">
        <f t="shared" si="3"/>
        <v>-3.2858551225362791E-2</v>
      </c>
      <c r="E69" s="7">
        <f t="shared" si="3"/>
        <v>1.7885731858860492E-2</v>
      </c>
      <c r="F69" s="10">
        <f>DATEDIF(
    DATE(YEAR(MTH_VolVal_InstaPay[[#This Row],[Period]]), MONTH(MTH_VolVal_InstaPay[[#This Row],[Period]]), 1),
    DATE(YEAR(MAX(MTH_VolVal_InstaPay[Period])), MONTH(MAX(MTH_VolVal_InstaPay[Period])), 1),
    "M"
)</f>
        <v>25</v>
      </c>
      <c r="G69" s="10" t="str">
        <f>TEXT(MTH_VolVal_InstaPay[[#This Row],[Period]], "YYYY") &amp; "-Q" &amp; ROUNDUP(MONTH(MTH_VolVal_InstaPay[[#This Row],[Period]])/3, 0)</f>
        <v>2023-Q4</v>
      </c>
    </row>
    <row r="70" spans="1:7" x14ac:dyDescent="0.25">
      <c r="A70" s="5">
        <v>45291</v>
      </c>
      <c r="B70" s="6">
        <v>97002842</v>
      </c>
      <c r="C70" s="6">
        <v>549654919616.66998</v>
      </c>
      <c r="D70" s="7">
        <f t="shared" si="3"/>
        <v>0.15757503441089313</v>
      </c>
      <c r="E70" s="7">
        <f t="shared" si="3"/>
        <v>0.18154922422427106</v>
      </c>
      <c r="F70" s="10">
        <f>DATEDIF(
    DATE(YEAR(MTH_VolVal_InstaPay[[#This Row],[Period]]), MONTH(MTH_VolVal_InstaPay[[#This Row],[Period]]), 1),
    DATE(YEAR(MAX(MTH_VolVal_InstaPay[Period])), MONTH(MAX(MTH_VolVal_InstaPay[Period])), 1),
    "M"
)</f>
        <v>24</v>
      </c>
      <c r="G70" s="10" t="str">
        <f>TEXT(MTH_VolVal_InstaPay[[#This Row],[Period]], "YYYY") &amp; "-Q" &amp; ROUNDUP(MONTH(MTH_VolVal_InstaPay[[#This Row],[Period]])/3, 0)</f>
        <v>2023-Q4</v>
      </c>
    </row>
    <row r="71" spans="1:7" x14ac:dyDescent="0.25">
      <c r="A71" s="5">
        <v>45322</v>
      </c>
      <c r="B71" s="6">
        <v>93185063</v>
      </c>
      <c r="C71" s="6">
        <v>507760570598.21002</v>
      </c>
      <c r="D71" s="7">
        <f t="shared" si="3"/>
        <v>-3.9357393260704671E-2</v>
      </c>
      <c r="E71" s="7">
        <f t="shared" si="3"/>
        <v>-7.6219365138543896E-2</v>
      </c>
      <c r="F71" s="10">
        <f>DATEDIF(
    DATE(YEAR(MTH_VolVal_InstaPay[[#This Row],[Period]]), MONTH(MTH_VolVal_InstaPay[[#This Row],[Period]]), 1),
    DATE(YEAR(MAX(MTH_VolVal_InstaPay[Period])), MONTH(MAX(MTH_VolVal_InstaPay[Period])), 1),
    "M"
)</f>
        <v>23</v>
      </c>
      <c r="G71" s="10" t="str">
        <f>TEXT(MTH_VolVal_InstaPay[[#This Row],[Period]], "YYYY") &amp; "-Q" &amp; ROUNDUP(MONTH(MTH_VolVal_InstaPay[[#This Row],[Period]])/3, 0)</f>
        <v>2024-Q1</v>
      </c>
    </row>
    <row r="72" spans="1:7" x14ac:dyDescent="0.25">
      <c r="A72" s="5">
        <v>45351</v>
      </c>
      <c r="B72" s="6">
        <v>93126960</v>
      </c>
      <c r="C72" s="6">
        <v>496315654109.03998</v>
      </c>
      <c r="D72" s="7">
        <f t="shared" si="3"/>
        <v>-6.235226776634792E-4</v>
      </c>
      <c r="E72" s="7">
        <f t="shared" si="3"/>
        <v>-2.253998666278163E-2</v>
      </c>
      <c r="F72" s="10">
        <f>DATEDIF(
    DATE(YEAR(MTH_VolVal_InstaPay[[#This Row],[Period]]), MONTH(MTH_VolVal_InstaPay[[#This Row],[Period]]), 1),
    DATE(YEAR(MAX(MTH_VolVal_InstaPay[Period])), MONTH(MAX(MTH_VolVal_InstaPay[Period])), 1),
    "M"
)</f>
        <v>22</v>
      </c>
      <c r="G72" s="10" t="str">
        <f>TEXT(MTH_VolVal_InstaPay[[#This Row],[Period]], "YYYY") &amp; "-Q" &amp; ROUNDUP(MONTH(MTH_VolVal_InstaPay[[#This Row],[Period]])/3, 0)</f>
        <v>2024-Q1</v>
      </c>
    </row>
    <row r="73" spans="1:7" x14ac:dyDescent="0.25">
      <c r="A73" s="5">
        <v>45382</v>
      </c>
      <c r="B73" s="6">
        <v>99413536</v>
      </c>
      <c r="C73" s="6">
        <v>540140487828.96997</v>
      </c>
      <c r="D73" s="7">
        <f t="shared" ref="D73:E88" si="4">(B73-B72)/B72</f>
        <v>6.7505435590295232E-2</v>
      </c>
      <c r="E73" s="7">
        <f t="shared" si="4"/>
        <v>8.830032532139663E-2</v>
      </c>
      <c r="F73" s="10">
        <f>DATEDIF(
    DATE(YEAR(MTH_VolVal_InstaPay[[#This Row],[Period]]), MONTH(MTH_VolVal_InstaPay[[#This Row],[Period]]), 1),
    DATE(YEAR(MAX(MTH_VolVal_InstaPay[Period])), MONTH(MAX(MTH_VolVal_InstaPay[Period])), 1),
    "M"
)</f>
        <v>21</v>
      </c>
      <c r="G73" s="10" t="str">
        <f>TEXT(MTH_VolVal_InstaPay[[#This Row],[Period]], "YYYY") &amp; "-Q" &amp; ROUNDUP(MONTH(MTH_VolVal_InstaPay[[#This Row],[Period]])/3, 0)</f>
        <v>2024-Q1</v>
      </c>
    </row>
    <row r="74" spans="1:7" x14ac:dyDescent="0.25">
      <c r="A74" s="5">
        <v>45412</v>
      </c>
      <c r="B74" s="6">
        <v>102772643</v>
      </c>
      <c r="C74" s="6">
        <v>557623684557.72998</v>
      </c>
      <c r="D74" s="7">
        <f t="shared" si="4"/>
        <v>3.3789231679677907E-2</v>
      </c>
      <c r="E74" s="7">
        <f t="shared" si="4"/>
        <v>3.2367869327906938E-2</v>
      </c>
      <c r="F74" s="10">
        <f>DATEDIF(
    DATE(YEAR(MTH_VolVal_InstaPay[[#This Row],[Period]]), MONTH(MTH_VolVal_InstaPay[[#This Row],[Period]]), 1),
    DATE(YEAR(MAX(MTH_VolVal_InstaPay[Period])), MONTH(MAX(MTH_VolVal_InstaPay[Period])), 1),
    "M"
)</f>
        <v>20</v>
      </c>
      <c r="G74" s="10" t="str">
        <f>TEXT(MTH_VolVal_InstaPay[[#This Row],[Period]], "YYYY") &amp; "-Q" &amp; ROUNDUP(MONTH(MTH_VolVal_InstaPay[[#This Row],[Period]])/3, 0)</f>
        <v>2024-Q2</v>
      </c>
    </row>
    <row r="75" spans="1:7" x14ac:dyDescent="0.25">
      <c r="A75" s="5">
        <v>45443</v>
      </c>
      <c r="B75" s="6">
        <v>113540999</v>
      </c>
      <c r="C75" s="6">
        <v>604605119842.55005</v>
      </c>
      <c r="D75" s="7">
        <f t="shared" si="4"/>
        <v>0.10477842824378858</v>
      </c>
      <c r="E75" s="7">
        <f t="shared" si="4"/>
        <v>8.4252940801972251E-2</v>
      </c>
      <c r="F75" s="10">
        <f>DATEDIF(
    DATE(YEAR(MTH_VolVal_InstaPay[[#This Row],[Period]]), MONTH(MTH_VolVal_InstaPay[[#This Row],[Period]]), 1),
    DATE(YEAR(MAX(MTH_VolVal_InstaPay[Period])), MONTH(MAX(MTH_VolVal_InstaPay[Period])), 1),
    "M"
)</f>
        <v>19</v>
      </c>
      <c r="G75" s="10" t="str">
        <f>TEXT(MTH_VolVal_InstaPay[[#This Row],[Period]], "YYYY") &amp; "-Q" &amp; ROUNDUP(MONTH(MTH_VolVal_InstaPay[[#This Row],[Period]])/3, 0)</f>
        <v>2024-Q2</v>
      </c>
    </row>
    <row r="76" spans="1:7" x14ac:dyDescent="0.25">
      <c r="A76" s="5">
        <v>45473</v>
      </c>
      <c r="B76" s="6">
        <v>110485467</v>
      </c>
      <c r="C76" s="6">
        <v>579397396776.30005</v>
      </c>
      <c r="D76" s="7">
        <f t="shared" si="4"/>
        <v>-2.6911265771054207E-2</v>
      </c>
      <c r="E76" s="7">
        <f t="shared" si="4"/>
        <v>-4.1692870667080259E-2</v>
      </c>
      <c r="F76" s="10">
        <f>DATEDIF(
    DATE(YEAR(MTH_VolVal_InstaPay[[#This Row],[Period]]), MONTH(MTH_VolVal_InstaPay[[#This Row],[Period]]), 1),
    DATE(YEAR(MAX(MTH_VolVal_InstaPay[Period])), MONTH(MAX(MTH_VolVal_InstaPay[Period])), 1),
    "M"
)</f>
        <v>18</v>
      </c>
      <c r="G76" s="10" t="str">
        <f>TEXT(MTH_VolVal_InstaPay[[#This Row],[Period]], "YYYY") &amp; "-Q" &amp; ROUNDUP(MONTH(MTH_VolVal_InstaPay[[#This Row],[Period]])/3, 0)</f>
        <v>2024-Q2</v>
      </c>
    </row>
    <row r="77" spans="1:7" x14ac:dyDescent="0.25">
      <c r="A77" s="5">
        <v>45504</v>
      </c>
      <c r="B77" s="6">
        <v>116795181</v>
      </c>
      <c r="C77" s="6">
        <v>611159537370.42004</v>
      </c>
      <c r="D77" s="7">
        <f t="shared" si="4"/>
        <v>5.7108995158612126E-2</v>
      </c>
      <c r="E77" s="7">
        <f t="shared" si="4"/>
        <v>5.4819267001959042E-2</v>
      </c>
      <c r="F77" s="10">
        <f>DATEDIF(
    DATE(YEAR(MTH_VolVal_InstaPay[[#This Row],[Period]]), MONTH(MTH_VolVal_InstaPay[[#This Row],[Period]]), 1),
    DATE(YEAR(MAX(MTH_VolVal_InstaPay[Period])), MONTH(MAX(MTH_VolVal_InstaPay[Period])), 1),
    "M"
)</f>
        <v>17</v>
      </c>
      <c r="G77" s="10" t="str">
        <f>TEXT(MTH_VolVal_InstaPay[[#This Row],[Period]], "YYYY") &amp; "-Q" &amp; ROUNDUP(MONTH(MTH_VolVal_InstaPay[[#This Row],[Period]])/3, 0)</f>
        <v>2024-Q3</v>
      </c>
    </row>
    <row r="78" spans="1:7" x14ac:dyDescent="0.25">
      <c r="A78" s="5">
        <v>45535</v>
      </c>
      <c r="B78" s="6">
        <v>121705442</v>
      </c>
      <c r="C78" s="6">
        <v>624083722546.81006</v>
      </c>
      <c r="D78" s="7">
        <f t="shared" si="4"/>
        <v>4.2041640399529838E-2</v>
      </c>
      <c r="E78" s="7">
        <f t="shared" si="4"/>
        <v>2.1146990901913628E-2</v>
      </c>
      <c r="F78" s="10">
        <f>DATEDIF(
    DATE(YEAR(MTH_VolVal_InstaPay[[#This Row],[Period]]), MONTH(MTH_VolVal_InstaPay[[#This Row],[Period]]), 1),
    DATE(YEAR(MAX(MTH_VolVal_InstaPay[Period])), MONTH(MAX(MTH_VolVal_InstaPay[Period])), 1),
    "M"
)</f>
        <v>16</v>
      </c>
      <c r="G78" s="10" t="str">
        <f>TEXT(MTH_VolVal_InstaPay[[#This Row],[Period]], "YYYY") &amp; "-Q" &amp; ROUNDUP(MONTH(MTH_VolVal_InstaPay[[#This Row],[Period]])/3, 0)</f>
        <v>2024-Q3</v>
      </c>
    </row>
    <row r="79" spans="1:7" x14ac:dyDescent="0.25">
      <c r="A79" s="5">
        <v>45565</v>
      </c>
      <c r="B79" s="6">
        <v>123381129</v>
      </c>
      <c r="C79" s="6">
        <v>622953508452.18994</v>
      </c>
      <c r="D79" s="7">
        <f t="shared" si="4"/>
        <v>1.3768381860853848E-2</v>
      </c>
      <c r="E79" s="7">
        <f t="shared" si="4"/>
        <v>-1.8109975533536597E-3</v>
      </c>
      <c r="F79" s="10">
        <f>DATEDIF(
    DATE(YEAR(MTH_VolVal_InstaPay[[#This Row],[Period]]), MONTH(MTH_VolVal_InstaPay[[#This Row],[Period]]), 1),
    DATE(YEAR(MAX(MTH_VolVal_InstaPay[Period])), MONTH(MAX(MTH_VolVal_InstaPay[Period])), 1),
    "M"
)</f>
        <v>15</v>
      </c>
      <c r="G79" s="10" t="str">
        <f>TEXT(MTH_VolVal_InstaPay[[#This Row],[Period]], "YYYY") &amp; "-Q" &amp; ROUNDUP(MONTH(MTH_VolVal_InstaPay[[#This Row],[Period]])/3, 0)</f>
        <v>2024-Q3</v>
      </c>
    </row>
    <row r="80" spans="1:7" x14ac:dyDescent="0.25">
      <c r="A80" s="5">
        <v>45596</v>
      </c>
      <c r="B80" s="6">
        <v>132840704</v>
      </c>
      <c r="C80" s="6">
        <v>676321784270.56995</v>
      </c>
      <c r="D80" s="7">
        <f t="shared" si="4"/>
        <v>7.6669544821558577E-2</v>
      </c>
      <c r="E80" s="7">
        <f t="shared" si="4"/>
        <v>8.5669757203840971E-2</v>
      </c>
      <c r="F80" s="10">
        <f>DATEDIF(
    DATE(YEAR(MTH_VolVal_InstaPay[[#This Row],[Period]]), MONTH(MTH_VolVal_InstaPay[[#This Row],[Period]]), 1),
    DATE(YEAR(MAX(MTH_VolVal_InstaPay[Period])), MONTH(MAX(MTH_VolVal_InstaPay[Period])), 1),
    "M"
)</f>
        <v>14</v>
      </c>
      <c r="G80" s="10" t="str">
        <f>TEXT(MTH_VolVal_InstaPay[[#This Row],[Period]], "YYYY") &amp; "-Q" &amp; ROUNDUP(MONTH(MTH_VolVal_InstaPay[[#This Row],[Period]])/3, 0)</f>
        <v>2024-Q4</v>
      </c>
    </row>
    <row r="81" spans="1:7" x14ac:dyDescent="0.25">
      <c r="A81" s="5">
        <v>45626</v>
      </c>
      <c r="B81" s="6">
        <v>139816253</v>
      </c>
      <c r="C81" s="6">
        <v>716213893077.63</v>
      </c>
      <c r="D81" s="7">
        <f t="shared" si="4"/>
        <v>5.2510629573297052E-2</v>
      </c>
      <c r="E81" s="7">
        <f t="shared" si="4"/>
        <v>5.8983918210005169E-2</v>
      </c>
      <c r="F81" s="10">
        <f>DATEDIF(
    DATE(YEAR(MTH_VolVal_InstaPay[[#This Row],[Period]]), MONTH(MTH_VolVal_InstaPay[[#This Row],[Period]]), 1),
    DATE(YEAR(MAX(MTH_VolVal_InstaPay[Period])), MONTH(MAX(MTH_VolVal_InstaPay[Period])), 1),
    "M"
)</f>
        <v>13</v>
      </c>
      <c r="G81" s="10" t="str">
        <f>TEXT(MTH_VolVal_InstaPay[[#This Row],[Period]], "YYYY") &amp; "-Q" &amp; ROUNDUP(MONTH(MTH_VolVal_InstaPay[[#This Row],[Period]])/3, 0)</f>
        <v>2024-Q4</v>
      </c>
    </row>
    <row r="82" spans="1:7" x14ac:dyDescent="0.25">
      <c r="A82" s="5">
        <v>45657</v>
      </c>
      <c r="B82" s="6">
        <v>159937737</v>
      </c>
      <c r="C82" s="6">
        <v>810108566047.15002</v>
      </c>
      <c r="D82" s="7">
        <f t="shared" si="4"/>
        <v>0.14391376945282605</v>
      </c>
      <c r="E82" s="7">
        <f t="shared" si="4"/>
        <v>0.13109864787186254</v>
      </c>
      <c r="F82" s="10">
        <f>DATEDIF(
    DATE(YEAR(MTH_VolVal_InstaPay[[#This Row],[Period]]), MONTH(MTH_VolVal_InstaPay[[#This Row],[Period]]), 1),
    DATE(YEAR(MAX(MTH_VolVal_InstaPay[Period])), MONTH(MAX(MTH_VolVal_InstaPay[Period])), 1),
    "M"
)</f>
        <v>12</v>
      </c>
      <c r="G82" s="10" t="str">
        <f>TEXT(MTH_VolVal_InstaPay[[#This Row],[Period]], "YYYY") &amp; "-Q" &amp; ROUNDUP(MONTH(MTH_VolVal_InstaPay[[#This Row],[Period]])/3, 0)</f>
        <v>2024-Q4</v>
      </c>
    </row>
    <row r="83" spans="1:7" x14ac:dyDescent="0.25">
      <c r="A83" s="12">
        <v>45688</v>
      </c>
      <c r="B83" s="6">
        <v>150588132</v>
      </c>
      <c r="C83" s="6">
        <v>750617923352.43994</v>
      </c>
      <c r="D83" s="7">
        <f t="shared" si="4"/>
        <v>-5.8457779729620657E-2</v>
      </c>
      <c r="E83" s="7">
        <f t="shared" si="4"/>
        <v>-7.3435395190288119E-2</v>
      </c>
      <c r="F83" s="11">
        <f>DATEDIF(
    DATE(YEAR(MTH_VolVal_InstaPay[[#This Row],[Period]]), MONTH(MTH_VolVal_InstaPay[[#This Row],[Period]]), 1),
    DATE(YEAR(MAX(MTH_VolVal_InstaPay[Period])), MONTH(MAX(MTH_VolVal_InstaPay[Period])), 1),
    "M"
)</f>
        <v>11</v>
      </c>
      <c r="G83" s="11" t="str">
        <f>TEXT(MTH_VolVal_InstaPay[[#This Row],[Period]], "YYYY") &amp; "-Q" &amp; ROUNDUP(MONTH(MTH_VolVal_InstaPay[[#This Row],[Period]])/3, 0)</f>
        <v>2025-Q1</v>
      </c>
    </row>
    <row r="84" spans="1:7" x14ac:dyDescent="0.25">
      <c r="A84" s="12">
        <v>45716</v>
      </c>
      <c r="B84" s="6">
        <v>156190748</v>
      </c>
      <c r="C84" s="6">
        <v>712946440952</v>
      </c>
      <c r="D84" s="7">
        <f t="shared" si="4"/>
        <v>3.7204897395234304E-2</v>
      </c>
      <c r="E84" s="7">
        <f t="shared" si="4"/>
        <v>-5.0187293999309331E-2</v>
      </c>
      <c r="F84" s="11">
        <f>DATEDIF(
    DATE(YEAR(MTH_VolVal_InstaPay[[#This Row],[Period]]), MONTH(MTH_VolVal_InstaPay[[#This Row],[Period]]), 1),
    DATE(YEAR(MAX(MTH_VolVal_InstaPay[Period])), MONTH(MAX(MTH_VolVal_InstaPay[Period])), 1),
    "M"
)</f>
        <v>10</v>
      </c>
      <c r="G84" s="11" t="str">
        <f>TEXT(MTH_VolVal_InstaPay[[#This Row],[Period]], "YYYY") &amp; "-Q" &amp; ROUNDUP(MONTH(MTH_VolVal_InstaPay[[#This Row],[Period]])/3, 0)</f>
        <v>2025-Q1</v>
      </c>
    </row>
    <row r="85" spans="1:7" x14ac:dyDescent="0.25">
      <c r="A85" s="12">
        <v>45747</v>
      </c>
      <c r="B85" s="6">
        <v>195517689</v>
      </c>
      <c r="C85" s="6">
        <v>825740521501.42004</v>
      </c>
      <c r="D85" s="7">
        <f t="shared" si="4"/>
        <v>0.25178790359592873</v>
      </c>
      <c r="E85" s="7">
        <f t="shared" si="4"/>
        <v>0.15820835068452785</v>
      </c>
      <c r="F85" s="13">
        <f>DATEDIF(
    DATE(YEAR(MTH_VolVal_InstaPay[[#This Row],[Period]]), MONTH(MTH_VolVal_InstaPay[[#This Row],[Period]]), 1),
    DATE(YEAR(MAX(MTH_VolVal_InstaPay[Period])), MONTH(MAX(MTH_VolVal_InstaPay[Period])), 1),
    "M"
)</f>
        <v>9</v>
      </c>
      <c r="G85" s="11" t="str">
        <f>TEXT(MTH_VolVal_InstaPay[[#This Row],[Period]], "YYYY") &amp; "-Q" &amp; ROUNDUP(MONTH(MTH_VolVal_InstaPay[[#This Row],[Period]])/3, 0)</f>
        <v>2025-Q1</v>
      </c>
    </row>
    <row r="86" spans="1:7" x14ac:dyDescent="0.25">
      <c r="A86" s="12">
        <v>45777</v>
      </c>
      <c r="B86" s="6">
        <v>297674024</v>
      </c>
      <c r="C86" s="6">
        <v>841108639726.32996</v>
      </c>
      <c r="D86" s="7">
        <f t="shared" si="4"/>
        <v>0.52249152249339448</v>
      </c>
      <c r="E86" s="7">
        <f t="shared" si="4"/>
        <v>1.8611316539203511E-2</v>
      </c>
      <c r="F86" s="13">
        <f>DATEDIF(
    DATE(YEAR(MTH_VolVal_InstaPay[[#This Row],[Period]]), MONTH(MTH_VolVal_InstaPay[[#This Row],[Period]]), 1),
    DATE(YEAR(MAX(MTH_VolVal_InstaPay[Period])), MONTH(MAX(MTH_VolVal_InstaPay[Period])), 1),
    "M"
)</f>
        <v>8</v>
      </c>
      <c r="G86" s="11" t="str">
        <f>TEXT(MTH_VolVal_InstaPay[[#This Row],[Period]], "YYYY") &amp; "-Q" &amp; ROUNDUP(MONTH(MTH_VolVal_InstaPay[[#This Row],[Period]])/3, 0)</f>
        <v>2025-Q2</v>
      </c>
    </row>
    <row r="87" spans="1:7" x14ac:dyDescent="0.25">
      <c r="A87" s="14">
        <v>45808</v>
      </c>
      <c r="B87" s="6">
        <v>359541409</v>
      </c>
      <c r="C87" s="6">
        <v>930558428766.70996</v>
      </c>
      <c r="D87" s="7">
        <f t="shared" si="4"/>
        <v>0.20783602199700166</v>
      </c>
      <c r="E87" s="7">
        <f t="shared" si="4"/>
        <v>0.10634748570587044</v>
      </c>
      <c r="F87" s="13">
        <f>DATEDIF(
    DATE(YEAR(MTH_VolVal_InstaPay[[#This Row],[Period]]), MONTH(MTH_VolVal_InstaPay[[#This Row],[Period]]), 1),
    DATE(YEAR(MAX(MTH_VolVal_InstaPay[Period])), MONTH(MAX(MTH_VolVal_InstaPay[Period])), 1),
    "M"
)</f>
        <v>7</v>
      </c>
      <c r="G87" s="11" t="str">
        <f>TEXT(MTH_VolVal_InstaPay[[#This Row],[Period]], "YYYY") &amp; "-Q" &amp; ROUNDUP(MONTH(MTH_VolVal_InstaPay[[#This Row],[Period]])/3, 0)</f>
        <v>2025-Q2</v>
      </c>
    </row>
    <row r="88" spans="1:7" x14ac:dyDescent="0.25">
      <c r="A88" s="12">
        <v>45838</v>
      </c>
      <c r="B88" s="6">
        <v>361198999</v>
      </c>
      <c r="C88" s="6">
        <v>916621978446.93994</v>
      </c>
      <c r="D88" s="7">
        <f t="shared" si="4"/>
        <v>4.6102895480392356E-3</v>
      </c>
      <c r="E88" s="7">
        <f t="shared" si="4"/>
        <v>-1.4976437684026258E-2</v>
      </c>
      <c r="F88" s="13">
        <f>DATEDIF(
    DATE(YEAR(MTH_VolVal_InstaPay[[#This Row],[Period]]), MONTH(MTH_VolVal_InstaPay[[#This Row],[Period]]), 1),
    DATE(YEAR(MAX(MTH_VolVal_InstaPay[Period])), MONTH(MAX(MTH_VolVal_InstaPay[Period])), 1),
    "M"
)</f>
        <v>6</v>
      </c>
      <c r="G88" s="11" t="str">
        <f>TEXT(MTH_VolVal_InstaPay[[#This Row],[Period]], "YYYY") &amp; "-Q" &amp; ROUNDUP(MONTH(MTH_VolVal_InstaPay[[#This Row],[Period]])/3, 0)</f>
        <v>2025-Q2</v>
      </c>
    </row>
    <row r="89" spans="1:7" x14ac:dyDescent="0.25">
      <c r="A89" s="5">
        <v>45869</v>
      </c>
      <c r="B89" s="6">
        <v>363350016</v>
      </c>
      <c r="C89" s="6">
        <v>953546284306.22998</v>
      </c>
      <c r="D89" s="7">
        <f t="shared" ref="D89:E94" si="5">(B89-B88)/B88</f>
        <v>5.9552130707870542E-3</v>
      </c>
      <c r="E89" s="7">
        <f t="shared" si="5"/>
        <v>4.0283024766493154E-2</v>
      </c>
      <c r="F89" s="15">
        <f>DATEDIF(
    DATE(YEAR(MTH_VolVal_InstaPay[[#This Row],[Period]]), MONTH(MTH_VolVal_InstaPay[[#This Row],[Period]]), 1),
    DATE(YEAR(MAX(MTH_VolVal_InstaPay[Period])), MONTH(MAX(MTH_VolVal_InstaPay[Period])), 1),
    "M"
)</f>
        <v>5</v>
      </c>
      <c r="G89" s="10" t="str">
        <f>TEXT(MTH_VolVal_InstaPay[[#This Row],[Period]], "YYYY") &amp; "-Q" &amp; ROUNDUP(MONTH(MTH_VolVal_InstaPay[[#This Row],[Period]])/3, 0)</f>
        <v>2025-Q3</v>
      </c>
    </row>
    <row r="90" spans="1:7" x14ac:dyDescent="0.25">
      <c r="A90" s="12">
        <v>45900</v>
      </c>
      <c r="B90" s="16">
        <v>425525326</v>
      </c>
      <c r="C90" s="16">
        <v>997041720671.85999</v>
      </c>
      <c r="D90" s="17">
        <f t="shared" si="5"/>
        <v>0.17111684948983186</v>
      </c>
      <c r="E90" s="17">
        <f t="shared" si="5"/>
        <v>4.5614394478266887E-2</v>
      </c>
      <c r="F90" s="13">
        <f>DATEDIF(
    DATE(YEAR(MTH_VolVal_InstaPay[[#This Row],[Period]]), MONTH(MTH_VolVal_InstaPay[[#This Row],[Period]]), 1),
    DATE(YEAR(MAX(MTH_VolVal_InstaPay[Period])), MONTH(MAX(MTH_VolVal_InstaPay[Period])), 1),
    "M"
)</f>
        <v>4</v>
      </c>
      <c r="G90" s="11" t="str">
        <f>TEXT(MTH_VolVal_InstaPay[[#This Row],[Period]], "YYYY") &amp; "-Q" &amp; ROUNDUP(MONTH(MTH_VolVal_InstaPay[[#This Row],[Period]])/3, 0)</f>
        <v>2025-Q3</v>
      </c>
    </row>
    <row r="91" spans="1:7" x14ac:dyDescent="0.25">
      <c r="A91" s="12">
        <v>45930</v>
      </c>
      <c r="B91" s="16">
        <v>494424645</v>
      </c>
      <c r="C91" s="16">
        <v>1017251238202.72</v>
      </c>
      <c r="D91" s="17">
        <f t="shared" si="5"/>
        <v>0.16191590673970838</v>
      </c>
      <c r="E91" s="17">
        <f t="shared" si="5"/>
        <v>2.0269480315469379E-2</v>
      </c>
      <c r="F91" s="13">
        <f>DATEDIF(
    DATE(YEAR(MTH_VolVal_InstaPay[[#This Row],[Period]]), MONTH(MTH_VolVal_InstaPay[[#This Row],[Period]]), 1),
    DATE(YEAR(MAX(MTH_VolVal_InstaPay[Period])), MONTH(MAX(MTH_VolVal_InstaPay[Period])), 1),
    "M"
)</f>
        <v>3</v>
      </c>
      <c r="G91" s="11" t="str">
        <f>TEXT(MTH_VolVal_InstaPay[[#This Row],[Period]], "YYYY") &amp; "-Q" &amp; ROUNDUP(MONTH(MTH_VolVal_InstaPay[[#This Row],[Period]])/3, 0)</f>
        <v>2025-Q3</v>
      </c>
    </row>
    <row r="92" spans="1:7" x14ac:dyDescent="0.25">
      <c r="A92" s="5">
        <v>45961</v>
      </c>
      <c r="B92" s="6">
        <v>566566830</v>
      </c>
      <c r="C92" s="6">
        <v>1123256663760.1299</v>
      </c>
      <c r="D92" s="17">
        <f t="shared" si="5"/>
        <v>0.14591138554592076</v>
      </c>
      <c r="E92" s="17">
        <f t="shared" si="5"/>
        <v>0.10420771346978192</v>
      </c>
      <c r="F92" s="15">
        <f>DATEDIF(
    DATE(YEAR(MTH_VolVal_InstaPay[[#This Row],[Period]]), MONTH(MTH_VolVal_InstaPay[[#This Row],[Period]]), 1),
    DATE(YEAR(MAX(MTH_VolVal_InstaPay[Period])), MONTH(MAX(MTH_VolVal_InstaPay[Period])), 1),
    "M"
)</f>
        <v>2</v>
      </c>
      <c r="G92" s="10" t="str">
        <f>TEXT(MTH_VolVal_InstaPay[[#This Row],[Period]], "YYYY") &amp; "-Q" &amp; ROUNDUP(MONTH(MTH_VolVal_InstaPay[[#This Row],[Period]])/3, 0)</f>
        <v>2025-Q4</v>
      </c>
    </row>
    <row r="93" spans="1:7" x14ac:dyDescent="0.25">
      <c r="A93" s="12">
        <v>45991</v>
      </c>
      <c r="B93" s="16">
        <v>587469214</v>
      </c>
      <c r="C93" s="16">
        <v>1140081411797.26</v>
      </c>
      <c r="D93" s="17">
        <f t="shared" si="5"/>
        <v>3.6893059906101457E-2</v>
      </c>
      <c r="E93" s="17">
        <f t="shared" si="5"/>
        <v>1.4978542821022633E-2</v>
      </c>
      <c r="F93" s="13">
        <f>DATEDIF(
    DATE(YEAR(MTH_VolVal_InstaPay[[#This Row],[Period]]), MONTH(MTH_VolVal_InstaPay[[#This Row],[Period]]), 1),
    DATE(YEAR(MAX(MTH_VolVal_InstaPay[Period])), MONTH(MAX(MTH_VolVal_InstaPay[Period])), 1),
    "M"
)</f>
        <v>1</v>
      </c>
      <c r="G93" s="11" t="str">
        <f>TEXT(MTH_VolVal_InstaPay[[#This Row],[Period]], "YYYY") &amp; "-Q" &amp; ROUNDUP(MONTH(MTH_VolVal_InstaPay[[#This Row],[Period]])/3, 0)</f>
        <v>2025-Q4</v>
      </c>
    </row>
    <row r="94" spans="1:7" x14ac:dyDescent="0.25">
      <c r="A94" s="12">
        <v>46022</v>
      </c>
      <c r="B94" s="16">
        <v>698059818</v>
      </c>
      <c r="C94" s="16">
        <v>1345019845468.96</v>
      </c>
      <c r="D94" s="17">
        <f t="shared" si="5"/>
        <v>0.18824919053545502</v>
      </c>
      <c r="E94" s="17">
        <f t="shared" si="5"/>
        <v>0.17975771866030918</v>
      </c>
      <c r="F94" s="13">
        <f>DATEDIF(
    DATE(YEAR(MTH_VolVal_InstaPay[[#This Row],[Period]]), MONTH(MTH_VolVal_InstaPay[[#This Row],[Period]]), 1),
    DATE(YEAR(MAX(MTH_VolVal_InstaPay[Period])), MONTH(MAX(MTH_VolVal_InstaPay[Period])), 1),
    "M"
)</f>
        <v>0</v>
      </c>
      <c r="G94" s="11" t="str">
        <f>TEXT(MTH_VolVal_InstaPay[[#This Row],[Period]], "YYYY") &amp; "-Q" &amp; ROUNDUP(MONTH(MTH_VolVal_InstaPay[[#This Row],[Period]])/3, 0)</f>
        <v>2025-Q4</v>
      </c>
    </row>
  </sheetData>
  <pageMargins left="0.7" right="0.7" top="0.75" bottom="0.75" header="0.3" footer="0.3"/>
  <headerFooter>
    <oddFooter>&amp;L_x000D_&amp;1#&amp;"Calibri"&amp;11&amp;K000000 Classification: GENERAL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B8A64070-48EB-418A-88B7-D5B71C17C98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D90:E90</xm:sqref>
        </x14:conditionalFormatting>
        <x14:conditionalFormatting xmlns:xm="http://schemas.microsoft.com/office/excel/2006/main">
          <x14:cfRule type="iconSet" priority="3" id="{7482086A-3118-4DA4-AF38-44FFD9C8CC2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D91:E92</xm:sqref>
        </x14:conditionalFormatting>
        <x14:conditionalFormatting xmlns:xm="http://schemas.microsoft.com/office/excel/2006/main">
          <x14:cfRule type="iconSet" priority="5" id="{B735F11D-A3BA-43F3-BBE9-936DC54B443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D2:E94</xm:sqref>
        </x14:conditionalFormatting>
        <x14:conditionalFormatting xmlns:xm="http://schemas.microsoft.com/office/excel/2006/main">
          <x14:cfRule type="iconSet" priority="2" id="{75C42F28-A90E-4769-8928-D868B331D94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D93:E93</xm:sqref>
        </x14:conditionalFormatting>
        <x14:conditionalFormatting xmlns:xm="http://schemas.microsoft.com/office/excel/2006/main">
          <x14:cfRule type="iconSet" priority="1" id="{31997CED-4216-4750-853B-AA4D63E8E23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D94:E94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PESONet</vt:lpstr>
      <vt:lpstr>InstaPay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Thadeus P. Yñigo</dc:creator>
  <cp:lastModifiedBy>Kenneth Thadeus P. Yñigo</cp:lastModifiedBy>
  <dcterms:created xsi:type="dcterms:W3CDTF">2026-02-03T02:08:07Z</dcterms:created>
  <dcterms:modified xsi:type="dcterms:W3CDTF">2026-02-03T02:10:24Z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2026-02-03T02:10:01Z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0cfbd5c3-b275-4246-bd1f-08c5f29893d1</vt:lpwstr>
  </property>
  <property fmtid="{D5CDD505-2E9C-101B-9397-08002B2CF9AE}" pid="8" name="MSIP_Label_d9a2f4c6-d10d-4c1c-82e1-7a921120c69a_ContentBits">
    <vt:lpwstr>2</vt:lpwstr>
  </property>
  <property fmtid="{D5CDD505-2E9C-101B-9397-08002B2CF9AE}" pid="9" name="MSIP_Label_d9a2f4c6-d10d-4c1c-82e1-7a921120c69a_Tag">
    <vt:lpwstr>10, 3, 0, 1</vt:lpwstr>
  </property>
</Properties>
</file>